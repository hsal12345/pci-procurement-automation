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media/image5.jpg" ContentType="image/jpeg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22d09ede5d555ac/Desktop/TW 2 2026/KK09/BOP/"/>
    </mc:Choice>
  </mc:AlternateContent>
  <xr:revisionPtr revIDLastSave="374" documentId="13_ncr:1_{21828EB3-BCE5-424C-8516-A1B5F5FC227F}" xr6:coauthVersionLast="47" xr6:coauthVersionMax="47" xr10:uidLastSave="{76722B37-AC2B-4F51-A79B-158EA5291B7B}"/>
  <bookViews>
    <workbookView xWindow="-98" yWindow="-98" windowWidth="21795" windowHeight="12975" firstSheet="5" activeTab="8" xr2:uid="{00000000-000D-0000-FFFF-FFFF00000000}"/>
  </bookViews>
  <sheets>
    <sheet name="HPS" sheetId="9" r:id="rId1"/>
    <sheet name="SPP" sheetId="10" r:id="rId2"/>
    <sheet name="SURAT PENAWARAN" sheetId="5" r:id="rId3"/>
    <sheet name="SURAT NEGOSIASI (2)" sheetId="16" r:id="rId4"/>
    <sheet name="SURAT PESANAN (2)" sheetId="17" r:id="rId5"/>
    <sheet name="FAKTUR" sheetId="1" r:id="rId6"/>
    <sheet name="KWITANSI" sheetId="2" r:id="rId7"/>
    <sheet name="SURAT JALAN" sheetId="8" r:id="rId8"/>
    <sheet name="BAPB" sheetId="13" r:id="rId9"/>
    <sheet name="BAST" sheetId="15" r:id="rId10"/>
    <sheet name="BAPP" sheetId="18" r:id="rId11"/>
    <sheet name="Lamp BAPP" sheetId="19" r:id="rId12"/>
    <sheet name="BAST Rekanan" sheetId="14" r:id="rId13"/>
  </sheets>
  <externalReferences>
    <externalReference r:id="rId14"/>
    <externalReference r:id="rId15"/>
    <externalReference r:id="rId16"/>
    <externalReference r:id="rId17"/>
  </externalReferences>
  <definedNames>
    <definedName name="_xlnm.Print_Area" localSheetId="8">BAPB!$A$1:$L$61</definedName>
    <definedName name="_xlnm.Print_Area" localSheetId="9">BAST!$A$1:$K$63</definedName>
    <definedName name="_xlnm.Print_Area" localSheetId="12">'BAST Rekanan'!$A$1:$N$57</definedName>
    <definedName name="_xlnm.Print_Area" localSheetId="5">FAKTUR!$A$1:$O$31</definedName>
    <definedName name="_xlnm.Print_Area" localSheetId="0">HPS!$A$1:$K$44</definedName>
    <definedName name="_xlnm.Print_Area" localSheetId="6">KWITANSI!$A$1:$E$29</definedName>
    <definedName name="_xlnm.Print_Area" localSheetId="1">SPP!$A$1:$L$46</definedName>
    <definedName name="_xlnm.Print_Area" localSheetId="7">'SURAT JALAN'!$A$1:$N$29</definedName>
    <definedName name="_xlnm.Print_Area" localSheetId="3">'SURAT NEGOSIASI (2)'!$A$1:$H$69</definedName>
    <definedName name="_xlnm.Print_Area" localSheetId="2">'SURAT PENAWARAN'!$A$1:$I$39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6" i="16" l="1"/>
  <c r="H47" i="16"/>
  <c r="H48" i="16"/>
  <c r="H49" i="16"/>
  <c r="H50" i="16"/>
  <c r="H51" i="16"/>
  <c r="H52" i="16"/>
  <c r="H35" i="16"/>
  <c r="H36" i="16"/>
  <c r="H37" i="16"/>
  <c r="H38" i="16"/>
  <c r="H39" i="16"/>
  <c r="H40" i="16"/>
  <c r="H41" i="16"/>
  <c r="G46" i="16"/>
  <c r="G47" i="16"/>
  <c r="G48" i="16"/>
  <c r="G49" i="16"/>
  <c r="G50" i="16"/>
  <c r="G51" i="16"/>
  <c r="G52" i="16"/>
  <c r="G35" i="16"/>
  <c r="G36" i="16"/>
  <c r="G37" i="16"/>
  <c r="G38" i="16"/>
  <c r="G39" i="16"/>
  <c r="G40" i="16"/>
  <c r="G41" i="16"/>
  <c r="F46" i="16"/>
  <c r="F47" i="16"/>
  <c r="F48" i="16"/>
  <c r="F49" i="16"/>
  <c r="F50" i="16"/>
  <c r="F51" i="16"/>
  <c r="F52" i="16"/>
  <c r="F35" i="16"/>
  <c r="F36" i="16"/>
  <c r="F37" i="16"/>
  <c r="F38" i="16"/>
  <c r="F39" i="16"/>
  <c r="F40" i="16"/>
  <c r="F41" i="16"/>
  <c r="E46" i="16"/>
  <c r="E47" i="16"/>
  <c r="E48" i="16"/>
  <c r="E49" i="16"/>
  <c r="E50" i="16"/>
  <c r="E51" i="16"/>
  <c r="E52" i="16"/>
  <c r="E35" i="16"/>
  <c r="E36" i="16"/>
  <c r="E37" i="16"/>
  <c r="E38" i="16"/>
  <c r="E39" i="16"/>
  <c r="E40" i="16"/>
  <c r="E41" i="16"/>
  <c r="C46" i="16"/>
  <c r="C47" i="16"/>
  <c r="C48" i="16"/>
  <c r="C49" i="16"/>
  <c r="C50" i="16"/>
  <c r="C51" i="16"/>
  <c r="C52" i="16"/>
  <c r="C35" i="16"/>
  <c r="C36" i="16"/>
  <c r="C37" i="16"/>
  <c r="C38" i="16"/>
  <c r="C39" i="16"/>
  <c r="C40" i="16"/>
  <c r="C41" i="16"/>
  <c r="H34" i="13" l="1"/>
  <c r="H34" i="15" s="1"/>
  <c r="H36" i="13"/>
  <c r="H36" i="15" s="1"/>
  <c r="H37" i="13"/>
  <c r="H37" i="15" s="1"/>
  <c r="H39" i="13"/>
  <c r="H39" i="15" s="1"/>
  <c r="C34" i="13"/>
  <c r="C34" i="15" s="1"/>
  <c r="L17" i="8"/>
  <c r="L18" i="8"/>
  <c r="I17" i="8"/>
  <c r="I18" i="8"/>
  <c r="H18" i="9"/>
  <c r="H14" i="8" s="1"/>
  <c r="H19" i="9"/>
  <c r="H15" i="8" s="1"/>
  <c r="H20" i="9"/>
  <c r="H16" i="8" s="1"/>
  <c r="H21" i="9"/>
  <c r="H17" i="8" s="1"/>
  <c r="H22" i="9"/>
  <c r="H18" i="8" s="1"/>
  <c r="H23" i="9"/>
  <c r="H19" i="8" s="1"/>
  <c r="H24" i="9"/>
  <c r="H20" i="8" s="1"/>
  <c r="H17" i="9"/>
  <c r="H13" i="8" s="1"/>
  <c r="A14" i="8"/>
  <c r="N17" i="1"/>
  <c r="F17" i="1"/>
  <c r="F18" i="1"/>
  <c r="F19" i="1"/>
  <c r="F20" i="1"/>
  <c r="E17" i="1"/>
  <c r="H17" i="1" s="1"/>
  <c r="E18" i="1"/>
  <c r="E18" i="8" s="1"/>
  <c r="A15" i="1"/>
  <c r="A15" i="8" s="1"/>
  <c r="A14" i="1"/>
  <c r="G25" i="5"/>
  <c r="G27" i="5"/>
  <c r="E25" i="5"/>
  <c r="E26" i="5"/>
  <c r="E27" i="5"/>
  <c r="E28" i="5"/>
  <c r="B22" i="5"/>
  <c r="B23" i="5"/>
  <c r="A26" i="5"/>
  <c r="A27" i="5"/>
  <c r="A28" i="5"/>
  <c r="A25" i="5"/>
  <c r="I22" i="10"/>
  <c r="I23" i="10"/>
  <c r="I24" i="10"/>
  <c r="I25" i="10"/>
  <c r="I26" i="10"/>
  <c r="I27" i="10"/>
  <c r="I28" i="10"/>
  <c r="H27" i="10"/>
  <c r="C23" i="10"/>
  <c r="C24" i="10"/>
  <c r="C25" i="10"/>
  <c r="C26" i="10"/>
  <c r="C27" i="10"/>
  <c r="C28" i="10"/>
  <c r="B28" i="10"/>
  <c r="B24" i="10"/>
  <c r="B25" i="10"/>
  <c r="B26" i="10"/>
  <c r="B27" i="10"/>
  <c r="B23" i="10"/>
  <c r="J23" i="9"/>
  <c r="L19" i="8" s="1"/>
  <c r="J22" i="9"/>
  <c r="N18" i="1" s="1"/>
  <c r="J21" i="9"/>
  <c r="I18" i="9"/>
  <c r="I14" i="8" s="1"/>
  <c r="I19" i="9"/>
  <c r="I15" i="8" s="1"/>
  <c r="I20" i="9"/>
  <c r="F16" i="1" s="1"/>
  <c r="I21" i="9"/>
  <c r="I22" i="9"/>
  <c r="I23" i="9"/>
  <c r="I19" i="8" s="1"/>
  <c r="I24" i="9"/>
  <c r="I20" i="8" s="1"/>
  <c r="I17" i="9"/>
  <c r="G18" i="9"/>
  <c r="F14" i="8" s="1"/>
  <c r="G19" i="9"/>
  <c r="F15" i="8" s="1"/>
  <c r="G20" i="9"/>
  <c r="F16" i="8" s="1"/>
  <c r="G21" i="9"/>
  <c r="F17" i="8" s="1"/>
  <c r="G22" i="9"/>
  <c r="F26" i="5" s="1"/>
  <c r="G23" i="9"/>
  <c r="H38" i="13" s="1"/>
  <c r="H38" i="15" s="1"/>
  <c r="G24" i="9"/>
  <c r="F28" i="5" s="1"/>
  <c r="G17" i="9"/>
  <c r="F13" i="8" s="1"/>
  <c r="F18" i="9"/>
  <c r="H22" i="10" s="1"/>
  <c r="H23" i="10"/>
  <c r="F20" i="9"/>
  <c r="H24" i="10" s="1"/>
  <c r="F21" i="9"/>
  <c r="G36" i="13" s="1"/>
  <c r="G36" i="15" s="1"/>
  <c r="G37" i="13"/>
  <c r="G37" i="15" s="1"/>
  <c r="F23" i="9"/>
  <c r="E19" i="1" s="1"/>
  <c r="F24" i="9"/>
  <c r="E20" i="1" s="1"/>
  <c r="C18" i="9"/>
  <c r="C33" i="13" s="1"/>
  <c r="C33" i="15" s="1"/>
  <c r="C19" i="9"/>
  <c r="C20" i="9"/>
  <c r="B24" i="5" s="1"/>
  <c r="C21" i="9"/>
  <c r="B25" i="5" s="1"/>
  <c r="C22" i="9"/>
  <c r="C37" i="13" s="1"/>
  <c r="C37" i="15" s="1"/>
  <c r="C23" i="9"/>
  <c r="A19" i="1" s="1"/>
  <c r="A19" i="8" s="1"/>
  <c r="C24" i="9"/>
  <c r="A20" i="1" s="1"/>
  <c r="A20" i="8" s="1"/>
  <c r="C17" i="9"/>
  <c r="G26" i="5" l="1"/>
  <c r="J18" i="8"/>
  <c r="H20" i="1"/>
  <c r="E20" i="8"/>
  <c r="J20" i="8" s="1"/>
  <c r="H19" i="1"/>
  <c r="E19" i="8"/>
  <c r="J19" i="8" s="1"/>
  <c r="L17" i="1"/>
  <c r="J17" i="1"/>
  <c r="J17" i="8"/>
  <c r="G34" i="13"/>
  <c r="G34" i="15" s="1"/>
  <c r="E24" i="5"/>
  <c r="E16" i="1"/>
  <c r="C38" i="13"/>
  <c r="C38" i="15" s="1"/>
  <c r="G35" i="13"/>
  <c r="G35" i="15" s="1"/>
  <c r="I16" i="8"/>
  <c r="J18" i="9"/>
  <c r="G33" i="13"/>
  <c r="G33" i="15" s="1"/>
  <c r="E17" i="8"/>
  <c r="J20" i="9"/>
  <c r="C39" i="13"/>
  <c r="C39" i="15" s="1"/>
  <c r="H35" i="13"/>
  <c r="H35" i="15" s="1"/>
  <c r="C22" i="10"/>
  <c r="C36" i="13"/>
  <c r="C36" i="15" s="1"/>
  <c r="J24" i="9"/>
  <c r="H28" i="10"/>
  <c r="F27" i="5"/>
  <c r="A16" i="1"/>
  <c r="A16" i="8" s="1"/>
  <c r="F20" i="8"/>
  <c r="C35" i="13"/>
  <c r="C35" i="15" s="1"/>
  <c r="H33" i="13"/>
  <c r="H33" i="15" s="1"/>
  <c r="H26" i="10"/>
  <c r="B28" i="5"/>
  <c r="F25" i="5"/>
  <c r="A18" i="1"/>
  <c r="A18" i="8" s="1"/>
  <c r="F14" i="1"/>
  <c r="F18" i="8"/>
  <c r="E15" i="1"/>
  <c r="J19" i="9"/>
  <c r="N19" i="1"/>
  <c r="A17" i="1"/>
  <c r="A17" i="8" s="1"/>
  <c r="H25" i="10"/>
  <c r="B27" i="5"/>
  <c r="F24" i="5"/>
  <c r="G39" i="13"/>
  <c r="G39" i="15" s="1"/>
  <c r="E23" i="5"/>
  <c r="F15" i="1"/>
  <c r="F19" i="8"/>
  <c r="B26" i="5"/>
  <c r="F23" i="5"/>
  <c r="G38" i="13"/>
  <c r="G38" i="15" s="1"/>
  <c r="E22" i="5"/>
  <c r="F22" i="5"/>
  <c r="H18" i="1"/>
  <c r="E14" i="1"/>
  <c r="I69" i="17"/>
  <c r="H69" i="17"/>
  <c r="F69" i="17"/>
  <c r="C69" i="17"/>
  <c r="A4" i="18"/>
  <c r="A3" i="18"/>
  <c r="E4" i="17"/>
  <c r="A3" i="13"/>
  <c r="A4" i="13"/>
  <c r="A2" i="13"/>
  <c r="D5" i="16"/>
  <c r="D4" i="16"/>
  <c r="D3" i="16"/>
  <c r="E16" i="8" l="1"/>
  <c r="H16" i="1"/>
  <c r="L20" i="8"/>
  <c r="N20" i="1"/>
  <c r="G28" i="5"/>
  <c r="L18" i="1"/>
  <c r="J18" i="1"/>
  <c r="E15" i="8"/>
  <c r="J15" i="8" s="1"/>
  <c r="H15" i="1"/>
  <c r="N16" i="1"/>
  <c r="G24" i="5"/>
  <c r="L16" i="8"/>
  <c r="L19" i="1"/>
  <c r="J19" i="1"/>
  <c r="G23" i="5"/>
  <c r="L15" i="8"/>
  <c r="N15" i="1"/>
  <c r="L14" i="8"/>
  <c r="G22" i="5"/>
  <c r="N14" i="1"/>
  <c r="E14" i="8"/>
  <c r="J14" i="8" s="1"/>
  <c r="H14" i="1"/>
  <c r="L20" i="1"/>
  <c r="J20" i="1"/>
  <c r="J16" i="8"/>
  <c r="J69" i="17"/>
  <c r="E14" i="17"/>
  <c r="E65" i="17" s="1"/>
  <c r="E13" i="17"/>
  <c r="E29" i="17" s="1"/>
  <c r="E12" i="17"/>
  <c r="H28" i="17" s="1"/>
  <c r="J7" i="10"/>
  <c r="B92" i="17"/>
  <c r="E11" i="19"/>
  <c r="J17" i="9"/>
  <c r="F11" i="19"/>
  <c r="B11" i="19"/>
  <c r="H32" i="13"/>
  <c r="G32" i="13"/>
  <c r="G32" i="15" s="1"/>
  <c r="C32" i="13"/>
  <c r="C32" i="14" s="1"/>
  <c r="J3" i="19"/>
  <c r="I13" i="8"/>
  <c r="I68" i="17"/>
  <c r="H68" i="17"/>
  <c r="F68" i="17"/>
  <c r="C68" i="17"/>
  <c r="G34" i="16"/>
  <c r="G45" i="16" s="1"/>
  <c r="F34" i="16"/>
  <c r="F45" i="16" s="1"/>
  <c r="E34" i="16"/>
  <c r="E45" i="16" s="1"/>
  <c r="C34" i="16"/>
  <c r="C45" i="16" s="1"/>
  <c r="H31" i="19"/>
  <c r="I49" i="17"/>
  <c r="B49" i="18" s="1"/>
  <c r="I48" i="17"/>
  <c r="I92" i="17" s="1"/>
  <c r="B48" i="18"/>
  <c r="K32" i="18"/>
  <c r="H32" i="18"/>
  <c r="I31" i="18"/>
  <c r="K39" i="19"/>
  <c r="B39" i="19"/>
  <c r="K38" i="19"/>
  <c r="B38" i="19"/>
  <c r="K37" i="19"/>
  <c r="B37" i="19"/>
  <c r="A11" i="19"/>
  <c r="G7" i="19"/>
  <c r="J42" i="18"/>
  <c r="C35" i="18"/>
  <c r="E31" i="18"/>
  <c r="B26" i="18"/>
  <c r="B25" i="18"/>
  <c r="B24" i="18"/>
  <c r="B23" i="18"/>
  <c r="B22" i="18"/>
  <c r="D18" i="18"/>
  <c r="D17" i="18"/>
  <c r="C17" i="18"/>
  <c r="B17" i="18"/>
  <c r="D16" i="18"/>
  <c r="C16" i="18"/>
  <c r="B16" i="18"/>
  <c r="C15" i="18"/>
  <c r="B15" i="18"/>
  <c r="D22" i="13"/>
  <c r="D14" i="14" s="1"/>
  <c r="D13" i="15"/>
  <c r="D23" i="18" s="1"/>
  <c r="D24" i="13"/>
  <c r="D24" i="15" s="1"/>
  <c r="D23" i="13"/>
  <c r="D15" i="14" s="1"/>
  <c r="D21" i="13"/>
  <c r="D13" i="14" s="1"/>
  <c r="D20" i="13"/>
  <c r="D20" i="15" s="1"/>
  <c r="D16" i="13"/>
  <c r="D24" i="14" s="1"/>
  <c r="D15" i="13"/>
  <c r="D23" i="14" s="1"/>
  <c r="D22" i="14"/>
  <c r="D24" i="18"/>
  <c r="D12" i="15"/>
  <c r="F61" i="13"/>
  <c r="G57" i="14" s="1"/>
  <c r="F60" i="13"/>
  <c r="E62" i="15" s="1"/>
  <c r="E19" i="17"/>
  <c r="E17" i="17"/>
  <c r="B93" i="17"/>
  <c r="B72" i="17"/>
  <c r="B71" i="17"/>
  <c r="B70" i="17"/>
  <c r="B69" i="17"/>
  <c r="B68" i="17"/>
  <c r="J61" i="17"/>
  <c r="R9" i="17" s="1"/>
  <c r="J60" i="17"/>
  <c r="B49" i="17"/>
  <c r="R30" i="17"/>
  <c r="R29" i="17"/>
  <c r="E24" i="17"/>
  <c r="E23" i="17"/>
  <c r="R20" i="17"/>
  <c r="Q20" i="17"/>
  <c r="O20" i="17"/>
  <c r="S20" i="17" s="1"/>
  <c r="S21" i="17" s="1"/>
  <c r="L20" i="17"/>
  <c r="K20" i="17"/>
  <c r="S15" i="17"/>
  <c r="P15" i="17"/>
  <c r="E63" i="17"/>
  <c r="M4" i="17"/>
  <c r="D2" i="17"/>
  <c r="M2" i="17" s="1"/>
  <c r="D1" i="17"/>
  <c r="M1" i="17" s="1"/>
  <c r="B62" i="16"/>
  <c r="B61" i="16"/>
  <c r="D69" i="16"/>
  <c r="D68" i="16"/>
  <c r="D14" i="16"/>
  <c r="D65" i="16"/>
  <c r="D64" i="16"/>
  <c r="H61" i="16"/>
  <c r="B36" i="16"/>
  <c r="B47" i="16" s="1"/>
  <c r="B35" i="16"/>
  <c r="B46" i="16" s="1"/>
  <c r="B34" i="16"/>
  <c r="B45" i="16"/>
  <c r="D2" i="16"/>
  <c r="D1" i="16"/>
  <c r="B18" i="2"/>
  <c r="A4" i="15"/>
  <c r="F13" i="1"/>
  <c r="J45" i="10"/>
  <c r="B45" i="10"/>
  <c r="B11" i="15"/>
  <c r="B12" i="18" s="1"/>
  <c r="D28" i="2"/>
  <c r="H32" i="14"/>
  <c r="F54" i="13"/>
  <c r="G50" i="14" s="1"/>
  <c r="F53" i="13"/>
  <c r="G49" i="14" s="1"/>
  <c r="B36" i="10"/>
  <c r="B46" i="10"/>
  <c r="B35" i="10"/>
  <c r="J46" i="10"/>
  <c r="J36" i="10"/>
  <c r="B13" i="14"/>
  <c r="B14" i="14"/>
  <c r="B15" i="14"/>
  <c r="B12" i="14"/>
  <c r="B21" i="14"/>
  <c r="B22" i="14"/>
  <c r="B23" i="14"/>
  <c r="B24" i="14"/>
  <c r="B20" i="14"/>
  <c r="E57" i="15"/>
  <c r="E56" i="15"/>
  <c r="L4" i="1"/>
  <c r="J4" i="8"/>
  <c r="J4" i="19"/>
  <c r="B11" i="14"/>
  <c r="D21" i="14"/>
  <c r="C10" i="1"/>
  <c r="E13" i="1"/>
  <c r="E13" i="8" s="1"/>
  <c r="A13" i="1"/>
  <c r="A13" i="8" s="1"/>
  <c r="B32" i="14"/>
  <c r="F21" i="5"/>
  <c r="E21" i="5"/>
  <c r="B21" i="5"/>
  <c r="I21" i="10"/>
  <c r="H21" i="10"/>
  <c r="C21" i="10"/>
  <c r="K6" i="14"/>
  <c r="D6" i="13"/>
  <c r="D6" i="14" s="1"/>
  <c r="C5" i="10"/>
  <c r="A4" i="10"/>
  <c r="A5" i="14"/>
  <c r="A4" i="14"/>
  <c r="L6" i="8"/>
  <c r="A3" i="15"/>
  <c r="J15" i="1" l="1"/>
  <c r="L15" i="1"/>
  <c r="L14" i="1"/>
  <c r="J14" i="1"/>
  <c r="G32" i="14"/>
  <c r="H32" i="15"/>
  <c r="J16" i="1"/>
  <c r="L16" i="1"/>
  <c r="N13" i="1"/>
  <c r="L13" i="8"/>
  <c r="J68" i="17"/>
  <c r="J25" i="9"/>
  <c r="H13" i="1"/>
  <c r="E64" i="17"/>
  <c r="Q16" i="17"/>
  <c r="R36" i="17"/>
  <c r="D22" i="15"/>
  <c r="G56" i="14"/>
  <c r="D21" i="15"/>
  <c r="J13" i="8"/>
  <c r="K13" i="8" s="1"/>
  <c r="H11" i="19"/>
  <c r="H28" i="19" s="1"/>
  <c r="H30" i="19" s="1"/>
  <c r="G21" i="5"/>
  <c r="H34" i="16" s="1"/>
  <c r="H45" i="16"/>
  <c r="C32" i="15"/>
  <c r="D20" i="14"/>
  <c r="F32" i="14"/>
  <c r="D23" i="15"/>
  <c r="J83" i="17"/>
  <c r="D16" i="15"/>
  <c r="D26" i="18" s="1"/>
  <c r="S23" i="17"/>
  <c r="S22" i="17"/>
  <c r="S25" i="17" s="1"/>
  <c r="B45" i="19"/>
  <c r="I49" i="13"/>
  <c r="D12" i="14"/>
  <c r="D16" i="14"/>
  <c r="D15" i="15"/>
  <c r="D25" i="18" s="1"/>
  <c r="C42" i="18" s="1"/>
  <c r="C39" i="19" s="1"/>
  <c r="J47" i="14"/>
  <c r="B54" i="15"/>
  <c r="E63" i="15"/>
  <c r="B53" i="15"/>
  <c r="D22" i="18"/>
  <c r="B49" i="13"/>
  <c r="J46" i="14" s="1"/>
  <c r="B46" i="19"/>
  <c r="I93" i="17"/>
  <c r="R37" i="17"/>
  <c r="C7" i="1"/>
  <c r="C9" i="1" s="1"/>
  <c r="A3" i="10"/>
  <c r="E3" i="17" s="1"/>
  <c r="M3" i="17" s="1"/>
  <c r="J27" i="9" l="1"/>
  <c r="J74" i="17" s="1"/>
  <c r="J77" i="17" s="1"/>
  <c r="B79" i="17" s="1"/>
  <c r="J26" i="9"/>
  <c r="J28" i="9"/>
  <c r="N22" i="1" s="1"/>
  <c r="C23" i="1" s="1"/>
  <c r="B14" i="2" s="1"/>
  <c r="A34" i="19" s="1"/>
  <c r="H22" i="1"/>
  <c r="J13" i="1"/>
  <c r="L13" i="1"/>
  <c r="J22" i="1"/>
  <c r="H29" i="19"/>
  <c r="B21" i="2"/>
  <c r="L22" i="1"/>
  <c r="J75" i="17"/>
  <c r="J53" i="15"/>
  <c r="J48" i="18" s="1"/>
  <c r="K45" i="19" s="1"/>
  <c r="B46" i="14"/>
  <c r="H32" i="19" l="1"/>
</calcChain>
</file>

<file path=xl/sharedStrings.xml><?xml version="1.0" encoding="utf-8"?>
<sst xmlns="http://schemas.openxmlformats.org/spreadsheetml/2006/main" count="473" uniqueCount="254">
  <si>
    <t>Bill To</t>
  </si>
  <si>
    <t>:</t>
  </si>
  <si>
    <t>Ship To</t>
  </si>
  <si>
    <t>SALES INVOICE</t>
  </si>
  <si>
    <t>Invoice Date :</t>
  </si>
  <si>
    <t>Terms :</t>
  </si>
  <si>
    <t>Net 90</t>
  </si>
  <si>
    <t>Ship Via :</t>
  </si>
  <si>
    <t>Mobil Box</t>
  </si>
  <si>
    <t>Currency :</t>
  </si>
  <si>
    <t>IDR</t>
  </si>
  <si>
    <t>Item</t>
  </si>
  <si>
    <t>Qty</t>
  </si>
  <si>
    <t>Unit Price</t>
  </si>
  <si>
    <t>Amount</t>
  </si>
  <si>
    <t>Say</t>
  </si>
  <si>
    <t>Approved By</t>
  </si>
  <si>
    <t>Received By</t>
  </si>
  <si>
    <t>Invoice No :</t>
  </si>
  <si>
    <t>Ship Date :</t>
  </si>
  <si>
    <t>KWITANSI</t>
  </si>
  <si>
    <t>No</t>
  </si>
  <si>
    <t>Telah  diterima dari  :</t>
  </si>
  <si>
    <t>Terbilang                 :</t>
  </si>
  <si>
    <t>Untuk Pembayaran  :</t>
  </si>
  <si>
    <t>Jumlah :</t>
  </si>
  <si>
    <t>CV. PUSTAKA CEMERLANG INDONESIA</t>
  </si>
  <si>
    <t xml:space="preserve">Wisma Mitra Sunter Unit 3-03, Jl. Yos Sudarso KAV.89, </t>
  </si>
  <si>
    <t xml:space="preserve">BOULEVARD MITRA SUNTER BLOK C2, Kel. Sunter Jaya 
</t>
  </si>
  <si>
    <t>Email : cv.pustakacemerlangindonesia@gmail.com</t>
  </si>
  <si>
    <t>BERITA ACARA SERAH TERIMA BARANG</t>
  </si>
  <si>
    <t>Nama</t>
  </si>
  <si>
    <t>Jabatan</t>
  </si>
  <si>
    <t>Perusahaan</t>
  </si>
  <si>
    <t>Alamat</t>
  </si>
  <si>
    <t>Nip</t>
  </si>
  <si>
    <t>Instansi</t>
  </si>
  <si>
    <t>NAMA BARANG</t>
  </si>
  <si>
    <t>QTY</t>
  </si>
  <si>
    <t>SATUAN</t>
  </si>
  <si>
    <t>Yang Menerima,</t>
  </si>
  <si>
    <t>Yang Menyerahkan,</t>
  </si>
  <si>
    <t>PIHAK KEDUA</t>
  </si>
  <si>
    <t>PIHAK PERTAMA</t>
  </si>
  <si>
    <t xml:space="preserve">:     </t>
  </si>
  <si>
    <t xml:space="preserve">Nomor   </t>
  </si>
  <si>
    <t>Lampiran</t>
  </si>
  <si>
    <t>-</t>
  </si>
  <si>
    <t>Hal</t>
  </si>
  <si>
    <t>Surat Pesanan</t>
  </si>
  <si>
    <t>NO</t>
  </si>
  <si>
    <t>DINAS PENDIDIKAN DASAR</t>
  </si>
  <si>
    <t>PEMERINTAH PROVINSI DAERAH KHUSUS IBUKOTA JAKARTA</t>
  </si>
  <si>
    <t>SUKU DINAS PENDIDIKAN WILAYAH II KOTA ADMINISTRASI JAKARTA PUSAT</t>
  </si>
  <si>
    <t>Dengan Hormat,</t>
  </si>
  <si>
    <t xml:space="preserve">sangat berharap agar bisa memesan barang dan jasa yang kami tawarkan, Sebagai bahan pertimbangan berikut </t>
  </si>
  <si>
    <t>daftar harga yang kami tawarkan :</t>
  </si>
  <si>
    <t>Hormat kami,</t>
  </si>
  <si>
    <t xml:space="preserve">:  Penawaran Kerjasama </t>
  </si>
  <si>
    <t xml:space="preserve">   Pengadaan barang dan jasa</t>
  </si>
  <si>
    <t>:   -</t>
  </si>
  <si>
    <t>Delivery No :</t>
  </si>
  <si>
    <t>SURAT JALAN</t>
  </si>
  <si>
    <t>Delivered By</t>
  </si>
  <si>
    <t>BARANG</t>
  </si>
  <si>
    <t>Total</t>
  </si>
  <si>
    <t>HARGA PERKIRAAN SENDIRI</t>
  </si>
  <si>
    <t>Kode Rekening</t>
  </si>
  <si>
    <t>Volume</t>
  </si>
  <si>
    <t>Harga</t>
  </si>
  <si>
    <t>Surat Pemintaan Penawaran Harga</t>
  </si>
  <si>
    <t>Nama Barang / Jasa</t>
  </si>
  <si>
    <t>Kuantitas</t>
  </si>
  <si>
    <t>Di mohon untuk daftar harga  tersebut harus kami dapatkan paling lambat 5 (lima) hari kerja dari dibuatnya surat permintaan penawaran ini.</t>
  </si>
  <si>
    <t>Demikian surat permintan penawaran ini kami sampaikan atas perhatian dan kerjasamanya ucapkan terima kasih.</t>
  </si>
  <si>
    <t>BERITA ACARA NEGOSIASI HARGA</t>
  </si>
  <si>
    <t>Harga Negosiasi</t>
  </si>
  <si>
    <t>Demikian Berita Acara Negosiasi ini kami buat untuk dapat dipergunakan sebagaimana mestinya</t>
  </si>
  <si>
    <t>Jumlah</t>
  </si>
  <si>
    <t>BERITA ACARA PEMERIKSAAN BARANG</t>
  </si>
  <si>
    <t>Demikian Berita Acara Pemeriksaan Hasil Pekerjaan ini dibuat dengan sebenarnya dan dipergunakan semestinya.</t>
  </si>
  <si>
    <t>Wisma Mitra Sunter 3-03</t>
  </si>
  <si>
    <t>Jl. Yos Sudarso Kav. 89, Boulevard Mitra Sunter Blok C2, Sunter Jaya, Tanjung Priok</t>
  </si>
  <si>
    <t>Spesifikasi</t>
  </si>
  <si>
    <t>Harga yang ditawarkan</t>
  </si>
  <si>
    <t>PPN</t>
  </si>
  <si>
    <t xml:space="preserve">Spesifikasi </t>
  </si>
  <si>
    <t>Keterangan</t>
  </si>
  <si>
    <t>penawaran harga sebagai berikut :</t>
  </si>
  <si>
    <t xml:space="preserve">Dengan ini PIHAK PERTAMA telah menyerahkan kepada PIHAK KEDUA, dan PIHAK KEDUA telah menerima </t>
  </si>
  <si>
    <t>Kondisi Barang</t>
  </si>
  <si>
    <t xml:space="preserve">Dengan adanya berita Acara Serah Terima barang ini maka Pekerjaan PIHAK KEDUA telah selesai melaksanakan kewajibannya </t>
  </si>
  <si>
    <t>dengan baik dan berhak menerima pembayaran dari PIHAK PERTAMA.</t>
  </si>
  <si>
    <t xml:space="preserve">Demikian Berita Acara Serah Terima ini dibuat untuk dapat dipergunakan sebagaimana mestinya. </t>
  </si>
  <si>
    <r>
      <t xml:space="preserve">Dalam hal ini bertindak untuk dan atas nama CV. PUSTAKA CEMERLANG INDONESIA, Selanjutnya disebut sebagai </t>
    </r>
    <r>
      <rPr>
        <b/>
        <sz val="10"/>
        <rFont val="Arial"/>
        <family val="2"/>
      </rPr>
      <t>PIHAK PERTAMA</t>
    </r>
    <r>
      <rPr>
        <sz val="10"/>
        <rFont val="Arial"/>
        <family val="2"/>
      </rPr>
      <t>,</t>
    </r>
  </si>
  <si>
    <r>
      <t xml:space="preserve"> Dalam hal ini bertindak untuk dan atas nama Sekolah, Selanjutnya disebut sebagai </t>
    </r>
    <r>
      <rPr>
        <b/>
        <sz val="10"/>
        <rFont val="Arial"/>
        <family val="2"/>
      </rPr>
      <t>PIHAK KEDUA,</t>
    </r>
  </si>
  <si>
    <t xml:space="preserve">Dengan ini PIHAK PERTAMA telah menyerahkan kepada PIHAK KEDUA, dan PIHAK KEDUA telah menerima penyerahan barang dari </t>
  </si>
  <si>
    <t xml:space="preserve">PIHAK PERTAMA dalam jumlah yang lengkap dan kondisi yang baik, dengan rincian: </t>
  </si>
  <si>
    <t xml:space="preserve">Kepada </t>
  </si>
  <si>
    <t>Yth :</t>
  </si>
  <si>
    <t xml:space="preserve">      Di Jakarta</t>
  </si>
  <si>
    <t>Mengetahui,</t>
  </si>
  <si>
    <t>Demikian surat penawaran kerjasama ini kami ajuka, atas perhatian dan kerjasamanya kami ucapkan terima kasih.</t>
  </si>
  <si>
    <r>
      <t>Bersama ini kami</t>
    </r>
    <r>
      <rPr>
        <b/>
        <sz val="10"/>
        <color theme="1"/>
        <rFont val="Arial"/>
        <family val="2"/>
      </rPr>
      <t xml:space="preserve"> CV Pustaka Cemerlang Indonesia</t>
    </r>
    <r>
      <rPr>
        <sz val="10"/>
        <color theme="1"/>
        <rFont val="Arial"/>
        <family val="2"/>
      </rPr>
      <t xml:space="preserve"> Mengajukan surat Penawaran kerjasama pengadaan barang</t>
    </r>
  </si>
  <si>
    <t>Baik</t>
  </si>
  <si>
    <t>Berdasarkan Informasi yang kami dapatkan, Perusahaan saudara, CV anda merupakan sebuah penyedia Barang / Jasa dengan harga</t>
  </si>
  <si>
    <r>
      <t xml:space="preserve"> yang terjangkau dan kompetitif serta memiliki pelayanan prima. Dalam rangka memenuhi kegiatan Sarana dan Prasarana Sekolah di </t>
    </r>
    <r>
      <rPr>
        <b/>
        <sz val="10"/>
        <rFont val="Arial"/>
        <family val="2"/>
      </rPr>
      <t/>
    </r>
  </si>
  <si>
    <t>PPN 11%</t>
  </si>
  <si>
    <t>Direktur</t>
  </si>
  <si>
    <t>DINAS PENDIDIKAN</t>
  </si>
  <si>
    <t>02/BAST-PCI/KK13/2022</t>
  </si>
  <si>
    <t xml:space="preserve">        /PK.03.00</t>
  </si>
  <si>
    <t>Nomor :          /PK.03.00</t>
  </si>
  <si>
    <t>Yang bertanda tangan dibawah ini :</t>
  </si>
  <si>
    <r>
      <t xml:space="preserve">Dalam hal ini bertindak untuk dan atas nama Sekolah, Selanjutnya disebut sebagai </t>
    </r>
    <r>
      <rPr>
        <b/>
        <sz val="12"/>
        <rFont val="Bookman Old Style"/>
        <family val="1"/>
      </rPr>
      <t>PIHAK PERTAMA,</t>
    </r>
  </si>
  <si>
    <r>
      <t xml:space="preserve">Dalam hal bertindak untuk dan atas nama CV. PUSTAKA CEMERLANG INDONESIA, disebut sebagai </t>
    </r>
    <r>
      <rPr>
        <b/>
        <sz val="12"/>
        <rFont val="Bookman Old Style"/>
        <family val="1"/>
      </rPr>
      <t>PIHAK KEDUA</t>
    </r>
    <r>
      <rPr>
        <sz val="12"/>
        <rFont val="Bookman Old Style"/>
        <family val="1"/>
      </rPr>
      <t>,</t>
    </r>
  </si>
  <si>
    <t>Berdasarkan Surat Penawaran yang disampaikan CV. PUSTAKA CEMERLANG INDONESIA, maka kedua belah pihak bersepakat untuk melakukan negosiasi harga atas penawaran tersebtu. Adapun penawaran harga tersebut sebagai berikut :</t>
  </si>
  <si>
    <t>Harga Pihak Kedua</t>
  </si>
  <si>
    <t xml:space="preserve">SURAT PESANAN </t>
  </si>
  <si>
    <t>Nomor      :</t>
  </si>
  <si>
    <t xml:space="preserve">     /PK.03.00</t>
  </si>
  <si>
    <t xml:space="preserve">Jakarta, </t>
  </si>
  <si>
    <t xml:space="preserve">Nomor : </t>
  </si>
  <si>
    <t xml:space="preserve">         /PK.03.00</t>
  </si>
  <si>
    <t>Lampiran  :</t>
  </si>
  <si>
    <t>Kepada,</t>
  </si>
  <si>
    <t>Perihal     :</t>
  </si>
  <si>
    <t>Yth. CV. Pustaka Cemerlang Indonesia</t>
  </si>
  <si>
    <t>Kegiatan             :</t>
  </si>
  <si>
    <t>Di</t>
  </si>
  <si>
    <t>Rincian Kegiatan :</t>
  </si>
  <si>
    <t>Tempat</t>
  </si>
  <si>
    <t>Kode Rekening    :</t>
  </si>
  <si>
    <t xml:space="preserve">Berdasarkan Berita acara hasil negosiasi nomor </t>
  </si>
  <si>
    <t>Tanggal</t>
  </si>
  <si>
    <t xml:space="preserve">Yang bertanda tangan di bawah ini </t>
  </si>
  <si>
    <t xml:space="preserve">bersama ini mengajukan pesanan kebutuhan kegiatan </t>
  </si>
  <si>
    <t>Nama         :</t>
  </si>
  <si>
    <t>dengan rincian sebagai berikut :</t>
  </si>
  <si>
    <t>Jabatan     :</t>
  </si>
  <si>
    <t>Alamat       :</t>
  </si>
  <si>
    <t>Uraian</t>
  </si>
  <si>
    <t>Satuan</t>
  </si>
  <si>
    <t>Harga Satuan</t>
  </si>
  <si>
    <r>
      <t xml:space="preserve">Selanjutnya disebut </t>
    </r>
    <r>
      <rPr>
        <b/>
        <sz val="12"/>
        <color theme="1"/>
        <rFont val="Bookman Old Style"/>
        <family val="1"/>
      </rPr>
      <t>Pengguna Anggaran</t>
    </r>
  </si>
  <si>
    <t>Sub Total</t>
  </si>
  <si>
    <t>PPH 22</t>
  </si>
  <si>
    <t>PPH 23</t>
  </si>
  <si>
    <t xml:space="preserve">Total </t>
  </si>
  <si>
    <r>
      <t xml:space="preserve">Selanjutnya disebut </t>
    </r>
    <r>
      <rPr>
        <b/>
        <sz val="12"/>
        <color theme="1"/>
        <rFont val="Bookman Old Style"/>
        <family val="1"/>
      </rPr>
      <t>Penyedia Jasa</t>
    </r>
  </si>
  <si>
    <t>Demikian surat pesanan ini, atas kerja samanya diucapkan terima kasih</t>
  </si>
  <si>
    <t xml:space="preserve">Untuk mengerjakan kegiatan Belanja Alat/Bahan </t>
  </si>
  <si>
    <t xml:space="preserve">Pada kegiatan </t>
  </si>
  <si>
    <t xml:space="preserve">dengan memerhatikan ketentuan-ketentuan </t>
  </si>
  <si>
    <t>sebagai berikut:</t>
  </si>
  <si>
    <t>1.</t>
  </si>
  <si>
    <t>Rincian Pekerjaan (terlampir)</t>
  </si>
  <si>
    <t>2.</t>
  </si>
  <si>
    <t xml:space="preserve">Syarat-syarat pekerjaan; sesuai dengan persyaratan dan ketentuan yang berlaku </t>
  </si>
  <si>
    <t>3.</t>
  </si>
  <si>
    <t>Waktu pelaksanaan</t>
  </si>
  <si>
    <t>4.</t>
  </si>
  <si>
    <t xml:space="preserve">Pembayaran; Pembayaran dilakukan setelah penyelesaian pekerjaan, Denda, terhadap setiap </t>
  </si>
  <si>
    <t xml:space="preserve">hari keterlambatan penyelesaian pekerjaan, penyedia jasa akan dikenakan denda keterlambatan </t>
  </si>
  <si>
    <r>
      <rPr>
        <b/>
        <sz val="12"/>
        <rFont val="Bookman Old Style"/>
        <family val="1"/>
      </rPr>
      <t>1%</t>
    </r>
    <r>
      <rPr>
        <sz val="12"/>
        <rFont val="Bookman Old Style"/>
        <family val="1"/>
      </rPr>
      <t xml:space="preserve"> dari nilai pesanan atau bagian tetentu dari nilai pesanan sesuai dengan persyaratan dan </t>
    </r>
  </si>
  <si>
    <t>ketentuan yang berlaku.</t>
  </si>
  <si>
    <t>Menerima dan Meyetujui</t>
  </si>
  <si>
    <t>Pengguna Anggaran</t>
  </si>
  <si>
    <t xml:space="preserve">Untuk dan atas nama </t>
  </si>
  <si>
    <t>Kepala Sekolah</t>
  </si>
  <si>
    <t>CV. Pustaka Cemerlang Indonesia,</t>
  </si>
  <si>
    <t>Lampiran      :</t>
  </si>
  <si>
    <t>SURAT PESANAN</t>
  </si>
  <si>
    <t>Nomor           :</t>
  </si>
  <si>
    <t>Tanggal         :</t>
  </si>
  <si>
    <t>Terbilang :</t>
  </si>
  <si>
    <t>SDN Kebon Kosong 13,</t>
  </si>
  <si>
    <t>NIP</t>
  </si>
  <si>
    <t>No :      /PK.03.00</t>
  </si>
  <si>
    <t>No :         /PK.03.00</t>
  </si>
  <si>
    <t>Nama Sekolah</t>
  </si>
  <si>
    <t xml:space="preserve"> </t>
  </si>
  <si>
    <t>BERITA ACARA PENYELESAIAN PEKERJAAN</t>
  </si>
  <si>
    <r>
      <t xml:space="preserve"> Dalam hal ini bertindak untuk dan atas nama Sekolah, Selanjutnya disebut sebagai </t>
    </r>
    <r>
      <rPr>
        <b/>
        <sz val="11"/>
        <rFont val="Arial"/>
        <family val="2"/>
      </rPr>
      <t>PIHAK PERTAMA,</t>
    </r>
  </si>
  <si>
    <r>
      <t xml:space="preserve"> Dalam hal ini bertindak untuk dan atas nama CV. MITRA KARYA GEMILANG, Selanjutnya disebut sebagai </t>
    </r>
    <r>
      <rPr>
        <b/>
        <sz val="11"/>
        <rFont val="Arial"/>
        <family val="2"/>
      </rPr>
      <t>PIHAK KEDUA,</t>
    </r>
  </si>
  <si>
    <t xml:space="preserve">Berdasarkan </t>
  </si>
  <si>
    <t xml:space="preserve">1. </t>
  </si>
  <si>
    <t xml:space="preserve">Tanggal </t>
  </si>
  <si>
    <t>Berita Acara Serah Terima Hasil Pekerjaan</t>
  </si>
  <si>
    <r>
      <t xml:space="preserve">Dengan ini menyatakan bahwa </t>
    </r>
    <r>
      <rPr>
        <b/>
        <sz val="11"/>
        <color theme="1"/>
        <rFont val="Arial"/>
        <family val="2"/>
      </rPr>
      <t>PIHAK PERTAMA</t>
    </r>
    <r>
      <rPr>
        <sz val="11"/>
        <color theme="1"/>
        <rFont val="Arial"/>
        <family val="2"/>
      </rPr>
      <t xml:space="preserve"> telah melaksanakan penyelesaian pekerjaan Belanja Alat/bahan untuk</t>
    </r>
  </si>
  <si>
    <t>Kegiatan</t>
  </si>
  <si>
    <r>
      <t xml:space="preserve">mencapai 100% dan dinyatakan oleh </t>
    </r>
    <r>
      <rPr>
        <b/>
        <sz val="11"/>
        <rFont val="Arial"/>
        <family val="2"/>
      </rPr>
      <t>PIHAK KEDUA</t>
    </r>
    <r>
      <rPr>
        <sz val="11"/>
        <rFont val="Arial"/>
        <family val="2"/>
      </rPr>
      <t xml:space="preserve"> telah memenuhi ketentuan </t>
    </r>
  </si>
  <si>
    <r>
      <t xml:space="preserve">dalam kontrak dengan hasil pekerjaan dalam keadaan </t>
    </r>
    <r>
      <rPr>
        <b/>
        <sz val="11"/>
        <color theme="1"/>
        <rFont val="Arial"/>
        <family val="2"/>
      </rPr>
      <t>BAIK</t>
    </r>
  </si>
  <si>
    <t>Demikian Berita Acara Penyelesaian Pekerjaan ini dibuat dan ditandatangani oleh kedua belah pihak</t>
  </si>
  <si>
    <t>PIHAK PERTAMA,</t>
  </si>
  <si>
    <t>PENGGUNA ANGGARAN</t>
  </si>
  <si>
    <t>CV. Pustaka Cemerlang Indonesia</t>
  </si>
  <si>
    <t>Kepala</t>
  </si>
  <si>
    <t>Berita Acara Penyelesaian Pekerjaan</t>
  </si>
  <si>
    <t>Nomor</t>
  </si>
  <si>
    <t>RINCIAN HARGA</t>
  </si>
  <si>
    <t>Belanja Alat/Bahan Untuk Kegiatan</t>
  </si>
  <si>
    <t>Kondisi</t>
  </si>
  <si>
    <t>Tidak Baik</t>
  </si>
  <si>
    <t>√</t>
  </si>
  <si>
    <t>Total + PPN</t>
  </si>
  <si>
    <t xml:space="preserve">           </t>
  </si>
  <si>
    <t>Bambang Solifian</t>
  </si>
  <si>
    <t>Pemeliharaan Sarana dan Prasarana Sekolah</t>
  </si>
  <si>
    <t xml:space="preserve">       Jakarta Pusat 10630 email :sdnkk05pg@gmail.com</t>
  </si>
  <si>
    <t>Bendahara SDN Kebon Kosong 05</t>
  </si>
  <si>
    <t>SDN Kebon Kosong 05,</t>
  </si>
  <si>
    <t>`</t>
  </si>
  <si>
    <t>Jakarta, 17 Oktober 2025</t>
  </si>
  <si>
    <t xml:space="preserve">Dengan adanya berita Acara Serah Terima barang ini maka Pekerjaan PIHAK KEDUA telah selesai melaksanakan </t>
  </si>
  <si>
    <t>kewajibannya dengan baik dan berhak menerima pembayaran dari PIHAK PERTAMA.</t>
  </si>
  <si>
    <r>
      <t>penyerahan barang dari PIHAK PERTAMA dalam jumlah yang</t>
    </r>
    <r>
      <rPr>
        <b/>
        <sz val="11"/>
        <rFont val="Arial"/>
        <family val="2"/>
      </rPr>
      <t xml:space="preserve"> lengkap dan kondisi yang baik</t>
    </r>
    <r>
      <rPr>
        <sz val="11"/>
        <rFont val="Arial"/>
        <family val="2"/>
      </rPr>
      <t xml:space="preserve">, dengan rincian: </t>
    </r>
  </si>
  <si>
    <t>Rincian Kegiatan</t>
  </si>
  <si>
    <t>Tahung Anggaran</t>
  </si>
  <si>
    <t>Kepala Sekolah SDN Kebon Kosong 09</t>
  </si>
  <si>
    <t>Khairunnisa</t>
  </si>
  <si>
    <t>NIP. 198402112011012010</t>
  </si>
  <si>
    <t>Tri Wahyuni</t>
  </si>
  <si>
    <t>NIP. 196804212016102001</t>
  </si>
  <si>
    <t>Bendahara SDN Kebon Kosong 09</t>
  </si>
  <si>
    <t>Jakarta, 2 Juni 2026</t>
  </si>
  <si>
    <r>
      <rPr>
        <b/>
        <sz val="10"/>
        <rFont val="Arial"/>
        <family val="2"/>
      </rPr>
      <t>SDN Kebon Kosong 09</t>
    </r>
    <r>
      <rPr>
        <sz val="10"/>
        <rFont val="Arial"/>
        <family val="2"/>
      </rPr>
      <t xml:space="preserve">. Maka dengan ini kami meminta CV anda yaitu CV. PUSTAKA CEMERLANG INDONESIA untuk memberikan </t>
    </r>
  </si>
  <si>
    <t>Sekolah Dasar Negeri Kebon Kosong 09</t>
  </si>
  <si>
    <t>Jl Kemayoran Gempol no.32</t>
  </si>
  <si>
    <r>
      <t xml:space="preserve">dan jasa di </t>
    </r>
    <r>
      <rPr>
        <b/>
        <sz val="10"/>
        <color theme="1"/>
        <rFont val="Arial"/>
        <family val="2"/>
      </rPr>
      <t xml:space="preserve">SDN Kebon Kosong 09 </t>
    </r>
    <r>
      <rPr>
        <sz val="10"/>
        <color theme="1"/>
        <rFont val="Arial"/>
        <family val="2"/>
      </rPr>
      <t>Sebagai penunjang dalam proses KBM ( kegiatan belajar mengajar ), untuk itu kami</t>
    </r>
  </si>
  <si>
    <t>Jakarta, 23 Juni 2025</t>
  </si>
  <si>
    <t>196804212016102001</t>
  </si>
  <si>
    <t>SDN Kebon Kosong 09</t>
  </si>
  <si>
    <t>Jl. Kemayoran Gempol no.32</t>
  </si>
  <si>
    <t>Pada Hari ini, Rabu Tanggal Dua Puluh Empat Bulan Juni Tahun Dua Ribu Dua Puluh enam</t>
  </si>
  <si>
    <t>SEKOLAH DASAR NEGERI KEBON KOSONG 09</t>
  </si>
  <si>
    <t>Jl. Kemayoran Gempol no.32 RT 015.05</t>
  </si>
  <si>
    <t>Dinas Pendidikan Provinsi DKI Jakarta"Cq.SDN Kebon Kosong 09"</t>
  </si>
  <si>
    <t>5/DO/PCI/2026</t>
  </si>
  <si>
    <r>
      <t xml:space="preserve"> Dalam hal ini bertindak untuk dan atas nama Sekolah, Selanjutnya disebut sebagai </t>
    </r>
    <r>
      <rPr>
        <b/>
        <sz val="12"/>
        <rFont val="Arial"/>
        <family val="2"/>
      </rPr>
      <t>PIHAK PERTAMA,</t>
    </r>
  </si>
  <si>
    <t xml:space="preserve"> Dalam hal ini bertindak untuk dan atas nama CV. PUSTAKA CEMERLANG INDONESIA, Selanjutnya disebut sebagai </t>
  </si>
  <si>
    <t>PIHAK KEDUA,</t>
  </si>
  <si>
    <t>Bahwa sehubungan pekerjaan pengadaan barang / jasa dengan Pihak Kedua. Setelah dilakukan pemeriksaan oleh</t>
  </si>
  <si>
    <t xml:space="preserve">Pihak Pertama dengan ini menyatakan sebagai berikut : </t>
  </si>
  <si>
    <t>Bahan-bahan lainnya</t>
  </si>
  <si>
    <t>Pembelian Bahan Kebersihan Sekolah</t>
  </si>
  <si>
    <t>4/PCI/KK09/2026</t>
  </si>
  <si>
    <t>Sulistiawati</t>
  </si>
  <si>
    <t>197909092022212008</t>
  </si>
  <si>
    <t>Pengurus Barang</t>
  </si>
  <si>
    <t>NIP. 197909092022212008</t>
  </si>
  <si>
    <t>:   04/Offer/PCI/26</t>
  </si>
  <si>
    <t>: 4/KW-PCI/KK09/2026</t>
  </si>
  <si>
    <t>Pada hari ini, Selasa Tanggal Enam Belas bulan Juni Tahun Dua Ribu Dua Puluh Enam yang bertanda tangan dibawah ini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</si>
</sst>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Rp&quot;* #,##0_-;\-&quot;Rp&quot;* #,##0_-;_-&quot;Rp&quot;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_-[$Rp-421]* #,##0_-;\-[$Rp-421]* #,##0_-;_-[$Rp-421]* &quot;-&quot;_-;_-@_-"/>
    <numFmt numFmtId="169" formatCode="[$-409]d\-mmm\-yyyy;@"/>
    <numFmt numFmtId="170" formatCode="[$-421]dd\ mmmm\ yyyy;@"/>
    <numFmt numFmtId="171" formatCode="_-&quot;Rp&quot;* #,##0_-;\-&quot;Rp&quot;* #,##0_-;_-&quot;Rp&quot;* &quot;-&quot;??_-;_-@_-"/>
    <numFmt numFmtId="172" formatCode="_(* #,##0.0_);_(* \(#,##0.0\);_(* &quot;-&quot;?_);_(@_)"/>
  </numFmts>
  <fonts count="7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u/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b/>
      <sz val="14"/>
      <name val="Times New Roman"/>
      <family val="1"/>
    </font>
    <font>
      <i/>
      <sz val="11"/>
      <name val="Arial Rounded MT Bold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sz val="11"/>
      <name val="Calibri"/>
      <family val="2"/>
      <charset val="1"/>
      <scheme val="minor"/>
    </font>
    <font>
      <sz val="18"/>
      <color theme="1"/>
      <name val="Algerian"/>
      <family val="5"/>
    </font>
    <font>
      <b/>
      <sz val="12"/>
      <name val="Times New Roman"/>
      <family val="1"/>
    </font>
    <font>
      <b/>
      <sz val="12"/>
      <color indexed="9"/>
      <name val="Times New Roman"/>
      <family val="1"/>
    </font>
    <font>
      <sz val="10"/>
      <color indexed="9"/>
      <name val="Arial"/>
      <family val="2"/>
    </font>
    <font>
      <u/>
      <sz val="10"/>
      <name val="Arial"/>
      <family val="2"/>
    </font>
    <font>
      <b/>
      <sz val="8"/>
      <name val="Arial"/>
      <family val="2"/>
    </font>
    <font>
      <sz val="10"/>
      <color indexed="62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name val="Arial"/>
      <family val="2"/>
    </font>
    <font>
      <b/>
      <sz val="12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8"/>
      <name val="Times New Roman"/>
      <family val="1"/>
    </font>
    <font>
      <b/>
      <sz val="11"/>
      <name val="Calibri"/>
      <family val="2"/>
      <scheme val="minor"/>
    </font>
    <font>
      <u/>
      <sz val="12"/>
      <name val="Arial"/>
      <family val="2"/>
    </font>
    <font>
      <sz val="12"/>
      <color indexed="62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sz val="12"/>
      <color indexed="9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4"/>
      <color theme="1"/>
      <name val="Bookman Old Style"/>
      <family val="1"/>
    </font>
    <font>
      <b/>
      <sz val="14"/>
      <color theme="1"/>
      <name val="Bookman Old Style"/>
      <family val="1"/>
    </font>
    <font>
      <b/>
      <u/>
      <sz val="12"/>
      <color theme="1"/>
      <name val="Bookman Old Style"/>
      <family val="1"/>
    </font>
    <font>
      <sz val="12"/>
      <name val="Bookman Old Style"/>
      <family val="1"/>
    </font>
    <font>
      <b/>
      <sz val="12"/>
      <name val="Bookman Old Style"/>
      <family val="1"/>
    </font>
    <font>
      <u/>
      <sz val="12"/>
      <name val="Bookman Old Style"/>
      <family val="1"/>
    </font>
    <font>
      <sz val="12"/>
      <color indexed="9"/>
      <name val="Bookman Old Style"/>
      <family val="1"/>
    </font>
    <font>
      <u/>
      <sz val="12"/>
      <color theme="1"/>
      <name val="Bookman Old Style"/>
      <family val="1"/>
    </font>
    <font>
      <i/>
      <sz val="12"/>
      <color theme="1"/>
      <name val="Bookman Old Style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color indexed="9"/>
      <name val="Times New Roman"/>
      <family val="1"/>
    </font>
    <font>
      <sz val="11"/>
      <color theme="1"/>
      <name val="Arial"/>
      <family val="2"/>
    </font>
    <font>
      <sz val="12"/>
      <name val="Times New Roman"/>
      <family val="1"/>
    </font>
    <font>
      <b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Berlin Sans FB"/>
      <family val="2"/>
    </font>
    <font>
      <i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name val="Calibri"/>
      <family val="2"/>
      <scheme val="minor"/>
    </font>
    <font>
      <u/>
      <sz val="12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dashed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dashed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dashed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/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0" fontId="2" fillId="0" borderId="0"/>
    <xf numFmtId="16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/>
    <xf numFmtId="0" fontId="7" fillId="0" borderId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2" fillId="0" borderId="0" applyFont="0" applyFill="0" applyBorder="0" applyAlignment="0" applyProtection="0"/>
    <xf numFmtId="0" fontId="1" fillId="0" borderId="0"/>
  </cellStyleXfs>
  <cellXfs count="43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0" fillId="0" borderId="5" xfId="0" applyBorder="1"/>
    <xf numFmtId="0" fontId="0" fillId="0" borderId="14" xfId="0" applyBorder="1"/>
    <xf numFmtId="0" fontId="0" fillId="0" borderId="0" xfId="0" applyAlignment="1">
      <alignment vertical="center"/>
    </xf>
    <xf numFmtId="0" fontId="2" fillId="0" borderId="0" xfId="1"/>
    <xf numFmtId="168" fontId="7" fillId="0" borderId="25" xfId="4" applyBorder="1"/>
    <xf numFmtId="168" fontId="7" fillId="0" borderId="26" xfId="4" applyBorder="1"/>
    <xf numFmtId="168" fontId="7" fillId="0" borderId="30" xfId="4" applyBorder="1"/>
    <xf numFmtId="168" fontId="9" fillId="0" borderId="29" xfId="4" applyFont="1" applyBorder="1"/>
    <xf numFmtId="168" fontId="9" fillId="0" borderId="0" xfId="4" applyFont="1"/>
    <xf numFmtId="168" fontId="7" fillId="0" borderId="0" xfId="4"/>
    <xf numFmtId="168" fontId="7" fillId="0" borderId="31" xfId="4" applyBorder="1"/>
    <xf numFmtId="168" fontId="11" fillId="0" borderId="29" xfId="4" applyFont="1" applyBorder="1"/>
    <xf numFmtId="168" fontId="8" fillId="0" borderId="0" xfId="4" applyFont="1"/>
    <xf numFmtId="168" fontId="7" fillId="0" borderId="27" xfId="4" applyBorder="1"/>
    <xf numFmtId="168" fontId="7" fillId="0" borderId="28" xfId="4" applyBorder="1"/>
    <xf numFmtId="168" fontId="7" fillId="0" borderId="32" xfId="4" applyBorder="1"/>
    <xf numFmtId="168" fontId="7" fillId="0" borderId="29" xfId="4" applyBorder="1"/>
    <xf numFmtId="168" fontId="9" fillId="0" borderId="28" xfId="4" applyFont="1" applyBorder="1" applyAlignment="1">
      <alignment horizontal="left"/>
    </xf>
    <xf numFmtId="168" fontId="7" fillId="0" borderId="24" xfId="4" applyBorder="1"/>
    <xf numFmtId="168" fontId="7" fillId="0" borderId="28" xfId="4" applyBorder="1" applyAlignment="1">
      <alignment horizontal="left"/>
    </xf>
    <xf numFmtId="168" fontId="13" fillId="0" borderId="29" xfId="4" applyFont="1" applyBorder="1" applyAlignment="1">
      <alignment vertical="center"/>
    </xf>
    <xf numFmtId="168" fontId="16" fillId="0" borderId="0" xfId="4" applyFont="1"/>
    <xf numFmtId="168" fontId="15" fillId="0" borderId="0" xfId="4" applyFont="1" applyAlignment="1">
      <alignment vertical="center"/>
    </xf>
    <xf numFmtId="167" fontId="7" fillId="0" borderId="0" xfId="4" applyNumberFormat="1"/>
    <xf numFmtId="169" fontId="7" fillId="0" borderId="31" xfId="4" applyNumberFormat="1" applyBorder="1" applyAlignment="1">
      <alignment horizontal="left"/>
    </xf>
    <xf numFmtId="0" fontId="19" fillId="0" borderId="0" xfId="12" applyFont="1" applyAlignment="1">
      <alignment horizontal="center" vertical="center"/>
    </xf>
    <xf numFmtId="0" fontId="7" fillId="0" borderId="0" xfId="9" applyAlignment="1">
      <alignment vertical="top"/>
    </xf>
    <xf numFmtId="0" fontId="7" fillId="0" borderId="0" xfId="12"/>
    <xf numFmtId="0" fontId="7" fillId="0" borderId="0" xfId="12" applyAlignment="1">
      <alignment vertical="center"/>
    </xf>
    <xf numFmtId="0" fontId="24" fillId="0" borderId="0" xfId="1" applyFont="1"/>
    <xf numFmtId="0" fontId="22" fillId="0" borderId="37" xfId="9" applyFont="1" applyBorder="1" applyAlignment="1">
      <alignment horizontal="center" vertical="center"/>
    </xf>
    <xf numFmtId="0" fontId="8" fillId="0" borderId="37" xfId="9" applyFont="1" applyBorder="1" applyAlignment="1">
      <alignment horizontal="center" vertical="center"/>
    </xf>
    <xf numFmtId="0" fontId="8" fillId="0" borderId="35" xfId="9" applyFont="1" applyBorder="1" applyAlignment="1">
      <alignment vertical="center"/>
    </xf>
    <xf numFmtId="0" fontId="8" fillId="0" borderId="34" xfId="9" applyFont="1" applyBorder="1" applyAlignment="1">
      <alignment vertical="center"/>
    </xf>
    <xf numFmtId="0" fontId="21" fillId="0" borderId="0" xfId="12" applyFont="1" applyAlignment="1">
      <alignment vertical="center"/>
    </xf>
    <xf numFmtId="0" fontId="20" fillId="0" borderId="0" xfId="9" applyFont="1" applyAlignment="1">
      <alignment vertical="top"/>
    </xf>
    <xf numFmtId="0" fontId="22" fillId="0" borderId="35" xfId="9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25" fillId="0" borderId="0" xfId="0" applyFont="1"/>
    <xf numFmtId="15" fontId="7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0" fillId="2" borderId="0" xfId="0" applyFill="1"/>
    <xf numFmtId="0" fontId="0" fillId="0" borderId="37" xfId="0" applyBorder="1" applyAlignment="1">
      <alignment horizontal="center"/>
    </xf>
    <xf numFmtId="0" fontId="8" fillId="0" borderId="35" xfId="9" applyFont="1" applyBorder="1" applyAlignment="1">
      <alignment horizontal="center" vertical="center"/>
    </xf>
    <xf numFmtId="0" fontId="7" fillId="0" borderId="0" xfId="12" applyAlignment="1">
      <alignment horizontal="center" vertical="center"/>
    </xf>
    <xf numFmtId="0" fontId="18" fillId="0" borderId="0" xfId="12" applyFont="1" applyAlignment="1">
      <alignment horizontal="center" vertical="center"/>
    </xf>
    <xf numFmtId="168" fontId="7" fillId="0" borderId="0" xfId="4" applyAlignment="1">
      <alignment horizontal="center"/>
    </xf>
    <xf numFmtId="0" fontId="25" fillId="0" borderId="38" xfId="0" applyFont="1" applyBorder="1"/>
    <xf numFmtId="0" fontId="29" fillId="0" borderId="38" xfId="0" applyFont="1" applyBorder="1"/>
    <xf numFmtId="0" fontId="30" fillId="0" borderId="0" xfId="0" applyFont="1" applyAlignment="1">
      <alignment horizontal="center"/>
    </xf>
    <xf numFmtId="0" fontId="32" fillId="0" borderId="3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34" fillId="0" borderId="3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35" fillId="0" borderId="0" xfId="12" applyFont="1" applyAlignment="1">
      <alignment vertical="center"/>
    </xf>
    <xf numFmtId="0" fontId="35" fillId="0" borderId="0" xfId="12" applyFont="1" applyAlignment="1">
      <alignment horizontal="center" vertical="center"/>
    </xf>
    <xf numFmtId="0" fontId="22" fillId="0" borderId="0" xfId="9" applyFont="1" applyAlignment="1">
      <alignment horizontal="center" vertical="center"/>
    </xf>
    <xf numFmtId="167" fontId="8" fillId="0" borderId="0" xfId="6" applyNumberFormat="1" applyFont="1" applyBorder="1" applyAlignment="1">
      <alignment vertical="center"/>
    </xf>
    <xf numFmtId="167" fontId="8" fillId="0" borderId="0" xfId="6" applyNumberFormat="1" applyFont="1" applyBorder="1" applyAlignment="1">
      <alignment horizontal="center" vertical="center"/>
    </xf>
    <xf numFmtId="20" fontId="7" fillId="0" borderId="0" xfId="12" applyNumberFormat="1" applyAlignment="1">
      <alignment vertical="center"/>
    </xf>
    <xf numFmtId="0" fontId="7" fillId="0" borderId="0" xfId="12" applyAlignment="1">
      <alignment horizontal="left" vertical="center"/>
    </xf>
    <xf numFmtId="0" fontId="25" fillId="0" borderId="38" xfId="0" applyFont="1" applyBorder="1" applyAlignment="1">
      <alignment horizontal="left"/>
    </xf>
    <xf numFmtId="15" fontId="0" fillId="0" borderId="0" xfId="0" applyNumberFormat="1"/>
    <xf numFmtId="0" fontId="0" fillId="2" borderId="0" xfId="0" applyFill="1" applyAlignment="1">
      <alignment horizontal="center"/>
    </xf>
    <xf numFmtId="42" fontId="0" fillId="2" borderId="0" xfId="0" applyNumberFormat="1" applyFill="1"/>
    <xf numFmtId="0" fontId="0" fillId="0" borderId="37" xfId="0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6" fillId="0" borderId="0" xfId="0" applyFont="1"/>
    <xf numFmtId="0" fontId="22" fillId="0" borderId="37" xfId="9" applyFont="1" applyBorder="1" applyAlignment="1">
      <alignment vertical="center"/>
    </xf>
    <xf numFmtId="0" fontId="2" fillId="0" borderId="37" xfId="0" applyFont="1" applyBorder="1" applyAlignment="1">
      <alignment horizontal="center"/>
    </xf>
    <xf numFmtId="0" fontId="33" fillId="0" borderId="36" xfId="9" applyFont="1" applyBorder="1" applyAlignment="1">
      <alignment horizontal="center" vertical="center"/>
    </xf>
    <xf numFmtId="42" fontId="38" fillId="0" borderId="37" xfId="9" applyNumberFormat="1" applyFont="1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21" fillId="0" borderId="0" xfId="12" applyFont="1" applyAlignment="1">
      <alignment horizontal="left" vertical="center"/>
    </xf>
    <xf numFmtId="0" fontId="0" fillId="0" borderId="37" xfId="0" applyBorder="1" applyAlignment="1">
      <alignment horizontal="center" wrapText="1"/>
    </xf>
    <xf numFmtId="44" fontId="0" fillId="0" borderId="37" xfId="0" applyNumberFormat="1" applyBorder="1" applyAlignment="1">
      <alignment horizontal="center" vertical="center"/>
    </xf>
    <xf numFmtId="42" fontId="0" fillId="0" borderId="0" xfId="0" applyNumberFormat="1"/>
    <xf numFmtId="42" fontId="0" fillId="0" borderId="0" xfId="0" applyNumberFormat="1" applyAlignment="1">
      <alignment horizontal="center"/>
    </xf>
    <xf numFmtId="0" fontId="31" fillId="0" borderId="35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41" fillId="0" borderId="0" xfId="0" applyFont="1"/>
    <xf numFmtId="0" fontId="42" fillId="0" borderId="0" xfId="0" applyFont="1"/>
    <xf numFmtId="0" fontId="41" fillId="0" borderId="0" xfId="0" applyFont="1" applyAlignment="1">
      <alignment vertical="center"/>
    </xf>
    <xf numFmtId="0" fontId="34" fillId="0" borderId="0" xfId="0" applyFont="1" applyAlignment="1">
      <alignment horizontal="left" vertical="center"/>
    </xf>
    <xf numFmtId="0" fontId="43" fillId="0" borderId="0" xfId="0" applyFont="1" applyAlignment="1">
      <alignment vertical="center"/>
    </xf>
    <xf numFmtId="0" fontId="34" fillId="0" borderId="37" xfId="9" applyFont="1" applyBorder="1" applyAlignment="1">
      <alignment horizontal="center" vertical="center"/>
    </xf>
    <xf numFmtId="42" fontId="4" fillId="0" borderId="27" xfId="0" applyNumberFormat="1" applyFont="1" applyBorder="1"/>
    <xf numFmtId="42" fontId="4" fillId="0" borderId="25" xfId="0" applyNumberFormat="1" applyFont="1" applyBorder="1"/>
    <xf numFmtId="42" fontId="4" fillId="0" borderId="35" xfId="0" applyNumberFormat="1" applyFont="1" applyBorder="1" applyAlignment="1">
      <alignment horizontal="center"/>
    </xf>
    <xf numFmtId="15" fontId="34" fillId="0" borderId="0" xfId="0" applyNumberFormat="1" applyFont="1" applyAlignment="1">
      <alignment vertical="center"/>
    </xf>
    <xf numFmtId="0" fontId="8" fillId="0" borderId="34" xfId="9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45" fillId="0" borderId="0" xfId="0" applyFont="1"/>
    <xf numFmtId="0" fontId="46" fillId="0" borderId="0" xfId="0" applyFont="1"/>
    <xf numFmtId="0" fontId="45" fillId="0" borderId="6" xfId="0" applyFont="1" applyBorder="1"/>
    <xf numFmtId="0" fontId="45" fillId="0" borderId="0" xfId="0" applyFont="1" applyAlignment="1">
      <alignment horizontal="right"/>
    </xf>
    <xf numFmtId="0" fontId="45" fillId="0" borderId="5" xfId="0" applyFont="1" applyBorder="1"/>
    <xf numFmtId="0" fontId="49" fillId="0" borderId="0" xfId="0" applyFont="1"/>
    <xf numFmtId="0" fontId="50" fillId="0" borderId="0" xfId="0" applyFont="1" applyAlignment="1">
      <alignment vertical="center"/>
    </xf>
    <xf numFmtId="0" fontId="50" fillId="0" borderId="0" xfId="12" applyFont="1" applyAlignment="1">
      <alignment vertical="center"/>
    </xf>
    <xf numFmtId="0" fontId="50" fillId="0" borderId="0" xfId="12" applyFont="1" applyAlignment="1">
      <alignment horizontal="center" vertical="center"/>
    </xf>
    <xf numFmtId="0" fontId="50" fillId="0" borderId="0" xfId="12" applyFont="1"/>
    <xf numFmtId="1" fontId="50" fillId="0" borderId="0" xfId="12" quotePrefix="1" applyNumberFormat="1" applyFont="1" applyAlignment="1">
      <alignment horizontal="left" vertical="center"/>
    </xf>
    <xf numFmtId="0" fontId="45" fillId="0" borderId="0" xfId="14" applyFont="1"/>
    <xf numFmtId="0" fontId="45" fillId="0" borderId="0" xfId="0" applyFont="1" applyAlignment="1">
      <alignment horizontal="center"/>
    </xf>
    <xf numFmtId="0" fontId="45" fillId="0" borderId="0" xfId="14" applyFont="1" applyAlignment="1">
      <alignment vertical="top" wrapText="1"/>
    </xf>
    <xf numFmtId="0" fontId="45" fillId="0" borderId="37" xfId="14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 wrapText="1"/>
    </xf>
    <xf numFmtId="0" fontId="45" fillId="0" borderId="37" xfId="14" applyFont="1" applyBorder="1" applyAlignment="1">
      <alignment horizontal="center" vertical="center" wrapText="1"/>
    </xf>
    <xf numFmtId="0" fontId="50" fillId="0" borderId="37" xfId="12" applyFont="1" applyBorder="1" applyAlignment="1">
      <alignment horizontal="center" vertical="center" wrapText="1"/>
    </xf>
    <xf numFmtId="42" fontId="50" fillId="0" borderId="37" xfId="12" applyNumberFormat="1" applyFont="1" applyBorder="1" applyAlignment="1">
      <alignment horizontal="left" vertical="center" wrapText="1"/>
    </xf>
    <xf numFmtId="42" fontId="50" fillId="0" borderId="37" xfId="12" applyNumberFormat="1" applyFont="1" applyBorder="1" applyAlignment="1">
      <alignment vertical="center" wrapText="1"/>
    </xf>
    <xf numFmtId="0" fontId="45" fillId="0" borderId="0" xfId="0" applyFont="1" applyAlignment="1">
      <alignment horizontal="left"/>
    </xf>
    <xf numFmtId="0" fontId="50" fillId="0" borderId="0" xfId="12" applyFont="1" applyAlignment="1">
      <alignment horizontal="left" vertical="center"/>
    </xf>
    <xf numFmtId="0" fontId="52" fillId="0" borderId="0" xfId="12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0" xfId="9" applyFont="1" applyAlignment="1">
      <alignment horizontal="center" vertical="center"/>
    </xf>
    <xf numFmtId="42" fontId="50" fillId="0" borderId="37" xfId="12" applyNumberFormat="1" applyFont="1" applyBorder="1" applyAlignment="1">
      <alignment vertical="center"/>
    </xf>
    <xf numFmtId="0" fontId="52" fillId="0" borderId="0" xfId="12" applyFont="1" applyAlignment="1">
      <alignment vertical="center"/>
    </xf>
    <xf numFmtId="0" fontId="53" fillId="0" borderId="0" xfId="9" applyFont="1" applyAlignment="1">
      <alignment vertical="top"/>
    </xf>
    <xf numFmtId="0" fontId="50" fillId="0" borderId="0" xfId="9" applyFont="1" applyAlignment="1">
      <alignment vertical="top"/>
    </xf>
    <xf numFmtId="0" fontId="47" fillId="0" borderId="6" xfId="0" applyFont="1" applyBorder="1"/>
    <xf numFmtId="0" fontId="45" fillId="0" borderId="5" xfId="0" applyFont="1" applyBorder="1" applyAlignment="1">
      <alignment horizontal="center"/>
    </xf>
    <xf numFmtId="0" fontId="46" fillId="0" borderId="5" xfId="0" applyFont="1" applyBorder="1" applyAlignment="1">
      <alignment horizontal="right"/>
    </xf>
    <xf numFmtId="0" fontId="46" fillId="0" borderId="5" xfId="0" applyFont="1" applyBorder="1"/>
    <xf numFmtId="170" fontId="45" fillId="0" borderId="0" xfId="0" applyNumberFormat="1" applyFont="1" applyAlignment="1">
      <alignment horizontal="left"/>
    </xf>
    <xf numFmtId="0" fontId="50" fillId="0" borderId="37" xfId="0" applyFont="1" applyBorder="1" applyAlignment="1">
      <alignment horizontal="center" vertical="center"/>
    </xf>
    <xf numFmtId="0" fontId="50" fillId="0" borderId="37" xfId="0" applyFont="1" applyBorder="1" applyAlignment="1">
      <alignment horizontal="center" vertical="center" wrapText="1"/>
    </xf>
    <xf numFmtId="42" fontId="45" fillId="0" borderId="37" xfId="0" applyNumberFormat="1" applyFont="1" applyBorder="1" applyAlignment="1">
      <alignment horizontal="center" vertical="center" wrapText="1"/>
    </xf>
    <xf numFmtId="42" fontId="45" fillId="0" borderId="37" xfId="0" applyNumberFormat="1" applyFont="1" applyBorder="1"/>
    <xf numFmtId="1" fontId="45" fillId="0" borderId="0" xfId="0" quotePrefix="1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quotePrefix="1" applyFont="1"/>
    <xf numFmtId="0" fontId="50" fillId="0" borderId="0" xfId="0" applyFont="1" applyAlignment="1">
      <alignment horizontal="left" vertical="center"/>
    </xf>
    <xf numFmtId="0" fontId="54" fillId="0" borderId="0" xfId="0" applyFont="1"/>
    <xf numFmtId="170" fontId="50" fillId="0" borderId="0" xfId="0" applyNumberFormat="1" applyFont="1" applyAlignment="1">
      <alignment horizontal="left" vertical="center"/>
    </xf>
    <xf numFmtId="0" fontId="50" fillId="0" borderId="0" xfId="9" applyFont="1" applyAlignment="1">
      <alignment horizontal="left" vertical="center"/>
    </xf>
    <xf numFmtId="42" fontId="45" fillId="0" borderId="0" xfId="0" applyNumberFormat="1" applyFont="1" applyAlignment="1">
      <alignment vertical="center" wrapText="1"/>
    </xf>
    <xf numFmtId="0" fontId="52" fillId="0" borderId="0" xfId="0" applyFont="1" applyAlignment="1">
      <alignment horizontal="left" vertical="center"/>
    </xf>
    <xf numFmtId="0" fontId="52" fillId="0" borderId="0" xfId="9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42" fontId="45" fillId="0" borderId="0" xfId="0" applyNumberFormat="1" applyFont="1" applyAlignment="1">
      <alignment horizontal="left" vertical="center" wrapText="1"/>
    </xf>
    <xf numFmtId="15" fontId="50" fillId="0" borderId="0" xfId="0" applyNumberFormat="1" applyFont="1" applyAlignment="1">
      <alignment vertical="center"/>
    </xf>
    <xf numFmtId="0" fontId="45" fillId="0" borderId="30" xfId="0" applyFont="1" applyBorder="1"/>
    <xf numFmtId="0" fontId="45" fillId="0" borderId="26" xfId="0" applyFont="1" applyBorder="1"/>
    <xf numFmtId="0" fontId="57" fillId="0" borderId="0" xfId="12" applyFont="1" applyAlignment="1">
      <alignment vertical="center"/>
    </xf>
    <xf numFmtId="0" fontId="1" fillId="0" borderId="0" xfId="14"/>
    <xf numFmtId="0" fontId="57" fillId="0" borderId="0" xfId="12" applyFont="1" applyAlignment="1">
      <alignment horizontal="center" vertical="center"/>
    </xf>
    <xf numFmtId="0" fontId="58" fillId="0" borderId="0" xfId="12" applyFont="1" applyAlignment="1">
      <alignment horizontal="center" vertical="center"/>
    </xf>
    <xf numFmtId="0" fontId="59" fillId="0" borderId="0" xfId="14" applyFont="1"/>
    <xf numFmtId="0" fontId="35" fillId="0" borderId="0" xfId="12" applyFont="1"/>
    <xf numFmtId="0" fontId="60" fillId="0" borderId="0" xfId="12" applyFont="1" applyAlignment="1">
      <alignment vertical="center"/>
    </xf>
    <xf numFmtId="0" fontId="60" fillId="0" borderId="0" xfId="12" applyFont="1" applyAlignment="1">
      <alignment horizontal="center" vertical="center"/>
    </xf>
    <xf numFmtId="0" fontId="60" fillId="0" borderId="0" xfId="12" applyFont="1"/>
    <xf numFmtId="0" fontId="59" fillId="0" borderId="0" xfId="14" applyFont="1" applyAlignment="1">
      <alignment horizontal="center"/>
    </xf>
    <xf numFmtId="20" fontId="59" fillId="0" borderId="0" xfId="14" quotePrefix="1" applyNumberFormat="1" applyFont="1" applyAlignment="1">
      <alignment horizontal="center"/>
    </xf>
    <xf numFmtId="170" fontId="35" fillId="0" borderId="0" xfId="12" applyNumberFormat="1" applyFont="1"/>
    <xf numFmtId="0" fontId="59" fillId="0" borderId="0" xfId="14" quotePrefix="1" applyFont="1" applyAlignment="1">
      <alignment horizontal="center"/>
    </xf>
    <xf numFmtId="170" fontId="35" fillId="0" borderId="0" xfId="12" applyNumberFormat="1" applyFont="1" applyAlignment="1">
      <alignment horizontal="left"/>
    </xf>
    <xf numFmtId="0" fontId="62" fillId="0" borderId="0" xfId="14" applyFont="1"/>
    <xf numFmtId="0" fontId="0" fillId="0" borderId="37" xfId="0" applyBorder="1" applyAlignment="1">
      <alignment horizontal="center" vertical="center" wrapText="1"/>
    </xf>
    <xf numFmtId="0" fontId="63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vertical="center" wrapText="1"/>
    </xf>
    <xf numFmtId="42" fontId="4" fillId="0" borderId="29" xfId="0" applyNumberFormat="1" applyFont="1" applyBorder="1"/>
    <xf numFmtId="171" fontId="0" fillId="0" borderId="37" xfId="0" applyNumberFormat="1" applyBorder="1" applyAlignment="1">
      <alignment horizontal="center" vertical="center"/>
    </xf>
    <xf numFmtId="0" fontId="50" fillId="2" borderId="37" xfId="0" applyFont="1" applyFill="1" applyBorder="1" applyAlignment="1">
      <alignment vertical="center" wrapText="1"/>
    </xf>
    <xf numFmtId="44" fontId="0" fillId="0" borderId="0" xfId="0" applyNumberFormat="1" applyAlignment="1">
      <alignment horizontal="center" vertical="center"/>
    </xf>
    <xf numFmtId="0" fontId="47" fillId="0" borderId="0" xfId="0" applyFont="1" applyAlignment="1">
      <alignment horizontal="center"/>
    </xf>
    <xf numFmtId="0" fontId="66" fillId="0" borderId="37" xfId="0" applyFont="1" applyBorder="1" applyAlignment="1">
      <alignment horizontal="center" vertical="center"/>
    </xf>
    <xf numFmtId="3" fontId="66" fillId="0" borderId="37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4" fillId="0" borderId="41" xfId="0" applyFont="1" applyBorder="1" applyAlignment="1">
      <alignment wrapText="1"/>
    </xf>
    <xf numFmtId="0" fontId="4" fillId="0" borderId="41" xfId="0" applyFont="1" applyBorder="1"/>
    <xf numFmtId="3" fontId="4" fillId="0" borderId="37" xfId="0" applyNumberFormat="1" applyFont="1" applyBorder="1"/>
    <xf numFmtId="44" fontId="4" fillId="0" borderId="41" xfId="0" applyNumberFormat="1" applyFont="1" applyBorder="1" applyAlignment="1">
      <alignment horizontal="center"/>
    </xf>
    <xf numFmtId="42" fontId="4" fillId="0" borderId="42" xfId="0" applyNumberFormat="1" applyFont="1" applyBorder="1" applyAlignment="1">
      <alignment horizontal="center"/>
    </xf>
    <xf numFmtId="42" fontId="4" fillId="0" borderId="39" xfId="0" applyNumberFormat="1" applyFont="1" applyBorder="1" applyAlignment="1">
      <alignment horizontal="center"/>
    </xf>
    <xf numFmtId="0" fontId="67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7" xfId="0" applyFont="1" applyBorder="1" applyAlignment="1">
      <alignment vertical="center"/>
    </xf>
    <xf numFmtId="0" fontId="4" fillId="2" borderId="17" xfId="0" applyFont="1" applyFill="1" applyBorder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0" borderId="43" xfId="0" applyFont="1" applyBorder="1" applyAlignment="1">
      <alignment horizontal="center"/>
    </xf>
    <xf numFmtId="44" fontId="4" fillId="0" borderId="44" xfId="0" applyNumberFormat="1" applyFont="1" applyBorder="1" applyAlignment="1">
      <alignment horizontal="center"/>
    </xf>
    <xf numFmtId="171" fontId="4" fillId="0" borderId="37" xfId="0" applyNumberFormat="1" applyFont="1" applyBorder="1" applyAlignment="1">
      <alignment horizontal="center"/>
    </xf>
    <xf numFmtId="0" fontId="69" fillId="0" borderId="37" xfId="9" applyFont="1" applyBorder="1" applyAlignment="1">
      <alignment horizontal="center" vertical="center"/>
    </xf>
    <xf numFmtId="0" fontId="69" fillId="0" borderId="35" xfId="9" applyFont="1" applyBorder="1" applyAlignment="1">
      <alignment horizontal="center" vertical="center"/>
    </xf>
    <xf numFmtId="0" fontId="70" fillId="0" borderId="37" xfId="9" applyFont="1" applyBorder="1" applyAlignment="1">
      <alignment horizontal="center" vertical="center"/>
    </xf>
    <xf numFmtId="0" fontId="70" fillId="0" borderId="35" xfId="9" applyFont="1" applyBorder="1" applyAlignment="1">
      <alignment horizontal="center" vertical="center"/>
    </xf>
    <xf numFmtId="0" fontId="41" fillId="0" borderId="0" xfId="1" applyFont="1"/>
    <xf numFmtId="0" fontId="34" fillId="0" borderId="0" xfId="12" applyFont="1" applyAlignment="1">
      <alignment vertical="center"/>
    </xf>
    <xf numFmtId="0" fontId="44" fillId="0" borderId="0" xfId="1" applyFont="1"/>
    <xf numFmtId="0" fontId="34" fillId="0" borderId="0" xfId="12" applyFont="1" applyAlignment="1">
      <alignment horizontal="center" vertical="center"/>
    </xf>
    <xf numFmtId="0" fontId="39" fillId="0" borderId="0" xfId="12" applyFont="1" applyAlignment="1">
      <alignment vertical="center"/>
    </xf>
    <xf numFmtId="0" fontId="43" fillId="0" borderId="0" xfId="9" applyFont="1" applyAlignment="1">
      <alignment vertical="top"/>
    </xf>
    <xf numFmtId="0" fontId="34" fillId="0" borderId="0" xfId="9" applyFont="1" applyAlignment="1">
      <alignment vertical="top"/>
    </xf>
    <xf numFmtId="0" fontId="59" fillId="0" borderId="0" xfId="1" applyFont="1"/>
    <xf numFmtId="0" fontId="68" fillId="0" borderId="0" xfId="0" applyFont="1"/>
    <xf numFmtId="0" fontId="31" fillId="0" borderId="37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0" xfId="12" applyFont="1"/>
    <xf numFmtId="0" fontId="34" fillId="0" borderId="0" xfId="12" applyFont="1" applyAlignment="1">
      <alignment horizontal="left" vertical="center"/>
    </xf>
    <xf numFmtId="0" fontId="71" fillId="0" borderId="0" xfId="1" applyFont="1"/>
    <xf numFmtId="0" fontId="4" fillId="0" borderId="41" xfId="0" applyFont="1" applyBorder="1" applyAlignment="1">
      <alignment horizontal="center" wrapText="1"/>
    </xf>
    <xf numFmtId="171" fontId="4" fillId="0" borderId="15" xfId="0" applyNumberFormat="1" applyFont="1" applyBorder="1" applyAlignment="1">
      <alignment horizontal="center"/>
    </xf>
    <xf numFmtId="1" fontId="7" fillId="0" borderId="0" xfId="12" quotePrefix="1" applyNumberFormat="1" applyAlignment="1">
      <alignment vertical="center"/>
    </xf>
    <xf numFmtId="1" fontId="35" fillId="0" borderId="0" xfId="12" quotePrefix="1" applyNumberFormat="1" applyFont="1" applyAlignment="1">
      <alignment vertical="center"/>
    </xf>
    <xf numFmtId="0" fontId="34" fillId="0" borderId="35" xfId="9" applyFont="1" applyBorder="1" applyAlignment="1">
      <alignment horizontal="center" vertical="center" wrapText="1"/>
    </xf>
    <xf numFmtId="0" fontId="34" fillId="0" borderId="34" xfId="9" applyFont="1" applyBorder="1" applyAlignment="1">
      <alignment horizontal="center" vertical="center" wrapText="1"/>
    </xf>
    <xf numFmtId="0" fontId="34" fillId="0" borderId="36" xfId="9" applyFont="1" applyBorder="1" applyAlignment="1">
      <alignment horizontal="center" vertical="center" wrapText="1"/>
    </xf>
    <xf numFmtId="167" fontId="34" fillId="0" borderId="35" xfId="6" applyNumberFormat="1" applyFont="1" applyBorder="1" applyAlignment="1">
      <alignment horizontal="center" vertical="center"/>
    </xf>
    <xf numFmtId="167" fontId="34" fillId="0" borderId="36" xfId="6" applyNumberFormat="1" applyFont="1" applyBorder="1" applyAlignment="1">
      <alignment horizontal="center" vertical="center"/>
    </xf>
    <xf numFmtId="0" fontId="37" fillId="0" borderId="0" xfId="12" applyFont="1" applyAlignment="1">
      <alignment horizontal="center" vertical="center"/>
    </xf>
    <xf numFmtId="0" fontId="18" fillId="0" borderId="0" xfId="12" applyFont="1" applyAlignment="1">
      <alignment horizontal="center" vertical="center"/>
    </xf>
    <xf numFmtId="0" fontId="34" fillId="0" borderId="37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35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65" fillId="0" borderId="38" xfId="0" applyFont="1" applyBorder="1" applyAlignment="1">
      <alignment horizontal="center"/>
    </xf>
    <xf numFmtId="0" fontId="34" fillId="0" borderId="35" xfId="0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42" fontId="44" fillId="0" borderId="35" xfId="0" applyNumberFormat="1" applyFont="1" applyBorder="1" applyAlignment="1">
      <alignment horizontal="center" vertical="center"/>
    </xf>
    <xf numFmtId="42" fontId="44" fillId="0" borderId="36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45" fillId="0" borderId="34" xfId="0" applyFont="1" applyBorder="1" applyAlignment="1">
      <alignment horizontal="center" vertical="center" wrapText="1"/>
    </xf>
    <xf numFmtId="0" fontId="45" fillId="0" borderId="36" xfId="0" applyFont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/>
    </xf>
    <xf numFmtId="0" fontId="0" fillId="0" borderId="35" xfId="0" applyBorder="1" applyAlignment="1">
      <alignment horizontal="left" wrapText="1"/>
    </xf>
    <xf numFmtId="0" fontId="0" fillId="0" borderId="34" xfId="0" applyBorder="1" applyAlignment="1">
      <alignment horizontal="left" wrapText="1"/>
    </xf>
    <xf numFmtId="0" fontId="0" fillId="0" borderId="36" xfId="0" applyBorder="1" applyAlignment="1">
      <alignment horizontal="left" wrapText="1"/>
    </xf>
    <xf numFmtId="0" fontId="22" fillId="0" borderId="35" xfId="9" applyFont="1" applyBorder="1" applyAlignment="1">
      <alignment horizontal="center" vertical="center"/>
    </xf>
    <xf numFmtId="0" fontId="22" fillId="0" borderId="34" xfId="9" applyFont="1" applyBorder="1" applyAlignment="1">
      <alignment horizontal="center" vertical="center"/>
    </xf>
    <xf numFmtId="0" fontId="22" fillId="0" borderId="36" xfId="9" applyFont="1" applyBorder="1" applyAlignment="1">
      <alignment horizontal="center" vertical="center"/>
    </xf>
    <xf numFmtId="0" fontId="45" fillId="0" borderId="35" xfId="14" applyFont="1" applyBorder="1" applyAlignment="1">
      <alignment horizontal="left" vertical="center" wrapText="1"/>
    </xf>
    <xf numFmtId="0" fontId="45" fillId="0" borderId="36" xfId="14" applyFont="1" applyBorder="1" applyAlignment="1">
      <alignment horizontal="left" vertical="center" wrapText="1"/>
    </xf>
    <xf numFmtId="0" fontId="50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0" fontId="45" fillId="0" borderId="35" xfId="14" applyFont="1" applyBorder="1" applyAlignment="1">
      <alignment horizontal="center" vertical="center"/>
    </xf>
    <xf numFmtId="0" fontId="45" fillId="0" borderId="36" xfId="14" applyFont="1" applyBorder="1" applyAlignment="1">
      <alignment horizontal="center" vertic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45" fillId="0" borderId="0" xfId="14" applyFont="1" applyAlignment="1">
      <alignment horizontal="left" vertical="top" wrapText="1"/>
    </xf>
    <xf numFmtId="0" fontId="45" fillId="0" borderId="37" xfId="0" applyFont="1" applyBorder="1" applyAlignment="1">
      <alignment horizontal="center" vertical="center" wrapText="1"/>
    </xf>
    <xf numFmtId="0" fontId="50" fillId="0" borderId="37" xfId="0" applyFont="1" applyBorder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50" fillId="0" borderId="37" xfId="0" applyFont="1" applyBorder="1" applyAlignment="1">
      <alignment horizontal="right" vertical="center"/>
    </xf>
    <xf numFmtId="0" fontId="50" fillId="0" borderId="35" xfId="0" applyFont="1" applyBorder="1" applyAlignment="1">
      <alignment horizontal="right" vertical="center"/>
    </xf>
    <xf numFmtId="0" fontId="50" fillId="0" borderId="34" xfId="0" applyFont="1" applyBorder="1" applyAlignment="1">
      <alignment horizontal="right" vertical="center"/>
    </xf>
    <xf numFmtId="0" fontId="50" fillId="0" borderId="36" xfId="0" applyFont="1" applyBorder="1" applyAlignment="1">
      <alignment horizontal="right" vertical="center"/>
    </xf>
    <xf numFmtId="0" fontId="55" fillId="0" borderId="25" xfId="0" applyFont="1" applyBorder="1" applyAlignment="1">
      <alignment horizontal="left"/>
    </xf>
    <xf numFmtId="0" fontId="45" fillId="0" borderId="26" xfId="0" applyFont="1" applyBorder="1" applyAlignment="1">
      <alignment horizontal="left"/>
    </xf>
    <xf numFmtId="0" fontId="55" fillId="0" borderId="29" xfId="0" applyFont="1" applyBorder="1" applyAlignment="1">
      <alignment horizontal="left" vertical="top" wrapText="1"/>
    </xf>
    <xf numFmtId="0" fontId="55" fillId="0" borderId="0" xfId="0" applyFont="1" applyAlignment="1">
      <alignment horizontal="left" vertical="top" wrapText="1"/>
    </xf>
    <xf numFmtId="0" fontId="55" fillId="0" borderId="31" xfId="0" applyFont="1" applyBorder="1" applyAlignment="1">
      <alignment horizontal="left" vertical="top" wrapText="1"/>
    </xf>
    <xf numFmtId="0" fontId="55" fillId="0" borderId="27" xfId="0" applyFont="1" applyBorder="1" applyAlignment="1">
      <alignment horizontal="left" vertical="top" wrapText="1"/>
    </xf>
    <xf numFmtId="0" fontId="55" fillId="0" borderId="28" xfId="0" applyFont="1" applyBorder="1" applyAlignment="1">
      <alignment horizontal="left" vertical="top" wrapText="1"/>
    </xf>
    <xf numFmtId="0" fontId="55" fillId="0" borderId="32" xfId="0" applyFont="1" applyBorder="1" applyAlignment="1">
      <alignment horizontal="left" vertical="top" wrapText="1"/>
    </xf>
    <xf numFmtId="0" fontId="50" fillId="0" borderId="37" xfId="0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left" vertical="top" wrapText="1"/>
    </xf>
    <xf numFmtId="0" fontId="45" fillId="0" borderId="6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6" fillId="0" borderId="0" xfId="0" applyFont="1" applyAlignment="1">
      <alignment horizontal="right"/>
    </xf>
    <xf numFmtId="0" fontId="46" fillId="0" borderId="0" xfId="0" applyFont="1" applyAlignment="1">
      <alignment horizontal="left"/>
    </xf>
    <xf numFmtId="171" fontId="4" fillId="0" borderId="1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15" xfId="0" applyFont="1" applyBorder="1" applyAlignment="1">
      <alignment horizontal="center"/>
    </xf>
    <xf numFmtId="0" fontId="4" fillId="0" borderId="39" xfId="0" applyFont="1" applyBorder="1" applyAlignment="1">
      <alignment horizontal="center" wrapText="1"/>
    </xf>
    <xf numFmtId="0" fontId="4" fillId="0" borderId="40" xfId="0" applyFont="1" applyBorder="1" applyAlignment="1">
      <alignment horizontal="center" wrapText="1"/>
    </xf>
    <xf numFmtId="0" fontId="5" fillId="0" borderId="6" xfId="0" applyFont="1" applyBorder="1" applyAlignment="1">
      <alignment horizontal="right" vertical="center"/>
    </xf>
    <xf numFmtId="0" fontId="4" fillId="0" borderId="1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14" fontId="4" fillId="0" borderId="12" xfId="0" applyNumberFormat="1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41" xfId="0" applyFont="1" applyBorder="1" applyAlignment="1">
      <alignment horizontal="center" wrapText="1"/>
    </xf>
    <xf numFmtId="171" fontId="4" fillId="0" borderId="39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42" fontId="0" fillId="2" borderId="0" xfId="0" applyNumberFormat="1" applyFill="1" applyAlignment="1">
      <alignment horizontal="center" vertical="center"/>
    </xf>
    <xf numFmtId="171" fontId="4" fillId="0" borderId="40" xfId="0" applyNumberFormat="1" applyFont="1" applyBorder="1" applyAlignment="1">
      <alignment horizontal="center"/>
    </xf>
    <xf numFmtId="171" fontId="4" fillId="0" borderId="41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42" fontId="4" fillId="0" borderId="15" xfId="0" applyNumberFormat="1" applyFont="1" applyBorder="1" applyAlignment="1">
      <alignment horizontal="center"/>
    </xf>
    <xf numFmtId="44" fontId="4" fillId="0" borderId="15" xfId="0" applyNumberFormat="1" applyFont="1" applyBorder="1" applyAlignment="1">
      <alignment horizontal="center"/>
    </xf>
    <xf numFmtId="44" fontId="4" fillId="0" borderId="39" xfId="0" applyNumberFormat="1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7" fillId="0" borderId="0" xfId="1" applyFont="1" applyAlignment="1">
      <alignment horizontal="center" vertical="center"/>
    </xf>
    <xf numFmtId="168" fontId="7" fillId="0" borderId="0" xfId="4" applyAlignment="1">
      <alignment horizontal="center"/>
    </xf>
    <xf numFmtId="168" fontId="10" fillId="0" borderId="0" xfId="4" applyFont="1" applyAlignment="1">
      <alignment horizontal="center" vertical="center"/>
    </xf>
    <xf numFmtId="168" fontId="10" fillId="0" borderId="31" xfId="4" applyFont="1" applyBorder="1" applyAlignment="1">
      <alignment horizontal="center" vertical="center"/>
    </xf>
    <xf numFmtId="168" fontId="9" fillId="0" borderId="25" xfId="4" applyFont="1" applyBorder="1" applyAlignment="1">
      <alignment horizontal="left" vertical="center"/>
    </xf>
    <xf numFmtId="168" fontId="9" fillId="0" borderId="26" xfId="4" applyFont="1" applyBorder="1" applyAlignment="1">
      <alignment horizontal="left" vertical="center"/>
    </xf>
    <xf numFmtId="168" fontId="9" fillId="0" borderId="30" xfId="4" applyFont="1" applyBorder="1" applyAlignment="1">
      <alignment horizontal="left" vertical="center"/>
    </xf>
    <xf numFmtId="168" fontId="9" fillId="0" borderId="27" xfId="4" applyFont="1" applyBorder="1" applyAlignment="1">
      <alignment horizontal="left" vertical="center"/>
    </xf>
    <xf numFmtId="168" fontId="9" fillId="0" borderId="28" xfId="4" applyFont="1" applyBorder="1" applyAlignment="1">
      <alignment horizontal="left" vertical="center"/>
    </xf>
    <xf numFmtId="168" fontId="9" fillId="0" borderId="32" xfId="4" applyFont="1" applyBorder="1" applyAlignment="1">
      <alignment horizontal="left" vertical="center"/>
    </xf>
    <xf numFmtId="168" fontId="14" fillId="0" borderId="25" xfId="4" applyFont="1" applyBorder="1" applyAlignment="1">
      <alignment horizontal="left" vertical="center" wrapText="1"/>
    </xf>
    <xf numFmtId="168" fontId="14" fillId="0" borderId="26" xfId="4" applyFont="1" applyBorder="1" applyAlignment="1">
      <alignment horizontal="left" vertical="center" wrapText="1"/>
    </xf>
    <xf numFmtId="168" fontId="14" fillId="0" borderId="30" xfId="4" applyFont="1" applyBorder="1" applyAlignment="1">
      <alignment horizontal="left" vertical="center" wrapText="1"/>
    </xf>
    <xf numFmtId="168" fontId="14" fillId="0" borderId="29" xfId="4" applyFont="1" applyBorder="1" applyAlignment="1">
      <alignment horizontal="left" vertical="center" wrapText="1"/>
    </xf>
    <xf numFmtId="168" fontId="14" fillId="0" borderId="0" xfId="4" applyFont="1" applyAlignment="1">
      <alignment horizontal="left" vertical="center" wrapText="1"/>
    </xf>
    <xf numFmtId="168" fontId="14" fillId="0" borderId="31" xfId="4" applyFont="1" applyBorder="1" applyAlignment="1">
      <alignment horizontal="left" vertical="center" wrapText="1"/>
    </xf>
    <xf numFmtId="168" fontId="14" fillId="0" borderId="27" xfId="4" applyFont="1" applyBorder="1" applyAlignment="1">
      <alignment horizontal="left" vertical="center" wrapText="1"/>
    </xf>
    <xf numFmtId="168" fontId="14" fillId="0" borderId="28" xfId="4" applyFont="1" applyBorder="1" applyAlignment="1">
      <alignment horizontal="left" vertical="center" wrapText="1"/>
    </xf>
    <xf numFmtId="168" fontId="14" fillId="0" borderId="32" xfId="4" applyFont="1" applyBorder="1" applyAlignment="1">
      <alignment horizontal="left" vertical="center" wrapText="1"/>
    </xf>
    <xf numFmtId="168" fontId="9" fillId="0" borderId="25" xfId="4" applyFont="1" applyBorder="1" applyAlignment="1">
      <alignment horizontal="left" vertical="center" wrapText="1"/>
    </xf>
    <xf numFmtId="168" fontId="9" fillId="0" borderId="26" xfId="4" applyFont="1" applyBorder="1" applyAlignment="1">
      <alignment horizontal="left" vertical="center" wrapText="1"/>
    </xf>
    <xf numFmtId="168" fontId="9" fillId="0" borderId="30" xfId="4" applyFont="1" applyBorder="1" applyAlignment="1">
      <alignment horizontal="left" vertical="center" wrapText="1"/>
    </xf>
    <xf numFmtId="168" fontId="9" fillId="0" borderId="27" xfId="4" applyFont="1" applyBorder="1" applyAlignment="1">
      <alignment horizontal="left" vertical="center" wrapText="1"/>
    </xf>
    <xf numFmtId="168" fontId="9" fillId="0" borderId="28" xfId="4" applyFont="1" applyBorder="1" applyAlignment="1">
      <alignment horizontal="left" vertical="center" wrapText="1"/>
    </xf>
    <xf numFmtId="168" fontId="9" fillId="0" borderId="32" xfId="4" applyFont="1" applyBorder="1" applyAlignment="1">
      <alignment horizontal="left" vertical="center" wrapText="1"/>
    </xf>
    <xf numFmtId="168" fontId="15" fillId="0" borderId="23" xfId="4" applyFont="1" applyBorder="1" applyAlignment="1">
      <alignment horizontal="right" vertical="center"/>
    </xf>
    <xf numFmtId="168" fontId="15" fillId="0" borderId="33" xfId="4" applyFont="1" applyBorder="1" applyAlignment="1">
      <alignment horizontal="right" vertical="center"/>
    </xf>
    <xf numFmtId="168" fontId="7" fillId="0" borderId="31" xfId="4" applyBorder="1" applyAlignment="1">
      <alignment horizontal="center"/>
    </xf>
    <xf numFmtId="168" fontId="12" fillId="0" borderId="25" xfId="4" applyFont="1" applyBorder="1" applyAlignment="1">
      <alignment horizontal="center"/>
    </xf>
    <xf numFmtId="168" fontId="12" fillId="0" borderId="26" xfId="4" applyFont="1" applyBorder="1" applyAlignment="1">
      <alignment horizontal="center"/>
    </xf>
    <xf numFmtId="168" fontId="12" fillId="0" borderId="30" xfId="4" applyFont="1" applyBorder="1" applyAlignment="1">
      <alignment horizontal="center"/>
    </xf>
    <xf numFmtId="168" fontId="7" fillId="0" borderId="0" xfId="4" applyAlignment="1">
      <alignment horizontal="center" vertical="top" wrapText="1"/>
    </xf>
    <xf numFmtId="168" fontId="7" fillId="0" borderId="0" xfId="4" applyAlignment="1">
      <alignment horizontal="center" vertical="top"/>
    </xf>
    <xf numFmtId="0" fontId="0" fillId="0" borderId="37" xfId="0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9" xfId="0" applyBorder="1" applyAlignment="1">
      <alignment horizontal="left"/>
    </xf>
    <xf numFmtId="14" fontId="0" fillId="0" borderId="1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2" xfId="0" applyBorder="1" applyAlignment="1">
      <alignment horizontal="center"/>
    </xf>
    <xf numFmtId="0" fontId="70" fillId="0" borderId="35" xfId="9" applyFont="1" applyBorder="1" applyAlignment="1">
      <alignment horizontal="center" vertical="center" wrapText="1"/>
    </xf>
    <xf numFmtId="0" fontId="70" fillId="0" borderId="34" xfId="9" applyFont="1" applyBorder="1" applyAlignment="1">
      <alignment horizontal="center" vertical="center" wrapText="1"/>
    </xf>
    <xf numFmtId="0" fontId="70" fillId="0" borderId="36" xfId="9" applyFont="1" applyBorder="1" applyAlignment="1">
      <alignment horizontal="center" vertical="center" wrapText="1"/>
    </xf>
    <xf numFmtId="167" fontId="70" fillId="0" borderId="35" xfId="6" applyNumberFormat="1" applyFont="1" applyBorder="1" applyAlignment="1">
      <alignment horizontal="center" vertical="center"/>
    </xf>
    <xf numFmtId="167" fontId="70" fillId="0" borderId="34" xfId="6" applyNumberFormat="1" applyFont="1" applyBorder="1" applyAlignment="1">
      <alignment horizontal="center" vertical="center"/>
    </xf>
    <xf numFmtId="167" fontId="70" fillId="0" borderId="36" xfId="6" applyNumberFormat="1" applyFont="1" applyBorder="1" applyAlignment="1">
      <alignment horizontal="center" vertical="center"/>
    </xf>
    <xf numFmtId="0" fontId="67" fillId="0" borderId="0" xfId="0" applyFont="1" applyAlignment="1">
      <alignment horizontal="center"/>
    </xf>
    <xf numFmtId="0" fontId="69" fillId="0" borderId="35" xfId="9" applyFont="1" applyBorder="1" applyAlignment="1">
      <alignment horizontal="center" vertical="center"/>
    </xf>
    <xf numFmtId="0" fontId="69" fillId="0" borderId="34" xfId="9" applyFont="1" applyBorder="1" applyAlignment="1">
      <alignment horizontal="center" vertical="center"/>
    </xf>
    <xf numFmtId="0" fontId="69" fillId="0" borderId="36" xfId="9" applyFont="1" applyBorder="1" applyAlignment="1">
      <alignment horizontal="center" vertical="center"/>
    </xf>
    <xf numFmtId="0" fontId="35" fillId="0" borderId="0" xfId="12" applyFont="1" applyAlignment="1">
      <alignment horizontal="left" vertical="center"/>
    </xf>
    <xf numFmtId="0" fontId="56" fillId="0" borderId="0" xfId="12" applyFont="1" applyAlignment="1">
      <alignment horizontal="center" vertical="center"/>
    </xf>
    <xf numFmtId="0" fontId="57" fillId="0" borderId="0" xfId="12" applyFont="1" applyAlignment="1">
      <alignment horizontal="right" vertical="center"/>
    </xf>
    <xf numFmtId="0" fontId="35" fillId="0" borderId="0" xfId="12" applyFont="1" applyAlignment="1">
      <alignment horizontal="center"/>
    </xf>
    <xf numFmtId="0" fontId="0" fillId="0" borderId="3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42" fontId="0" fillId="0" borderId="35" xfId="0" applyNumberFormat="1" applyBorder="1" applyAlignment="1">
      <alignment horizontal="center" vertical="center" wrapText="1"/>
    </xf>
    <xf numFmtId="42" fontId="0" fillId="0" borderId="36" xfId="0" applyNumberFormat="1" applyBorder="1" applyAlignment="1">
      <alignment horizontal="center" vertical="center" wrapText="1"/>
    </xf>
    <xf numFmtId="42" fontId="0" fillId="0" borderId="34" xfId="0" applyNumberFormat="1" applyBorder="1" applyAlignment="1">
      <alignment horizontal="center" vertical="center" wrapText="1"/>
    </xf>
    <xf numFmtId="42" fontId="0" fillId="0" borderId="37" xfId="0" applyNumberFormat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42" fontId="0" fillId="0" borderId="35" xfId="0" applyNumberFormat="1" applyBorder="1" applyAlignment="1">
      <alignment horizontal="center"/>
    </xf>
    <xf numFmtId="42" fontId="0" fillId="0" borderId="34" xfId="0" applyNumberFormat="1" applyBorder="1" applyAlignment="1">
      <alignment horizontal="center"/>
    </xf>
    <xf numFmtId="42" fontId="0" fillId="0" borderId="36" xfId="0" applyNumberFormat="1" applyBorder="1" applyAlignment="1">
      <alignment horizontal="center"/>
    </xf>
    <xf numFmtId="0" fontId="64" fillId="0" borderId="25" xfId="0" applyFont="1" applyBorder="1" applyAlignment="1">
      <alignment horizontal="left" vertical="top"/>
    </xf>
    <xf numFmtId="0" fontId="64" fillId="0" borderId="26" xfId="0" applyFont="1" applyBorder="1" applyAlignment="1">
      <alignment horizontal="left" vertical="top"/>
    </xf>
    <xf numFmtId="0" fontId="64" fillId="0" borderId="30" xfId="0" applyFont="1" applyBorder="1" applyAlignment="1">
      <alignment horizontal="left" vertical="top"/>
    </xf>
    <xf numFmtId="0" fontId="64" fillId="0" borderId="27" xfId="0" applyFont="1" applyBorder="1" applyAlignment="1">
      <alignment horizontal="left" vertical="top"/>
    </xf>
    <xf numFmtId="0" fontId="64" fillId="0" borderId="28" xfId="0" applyFont="1" applyBorder="1" applyAlignment="1">
      <alignment horizontal="left" vertical="top"/>
    </xf>
    <xf numFmtId="0" fontId="64" fillId="0" borderId="32" xfId="0" applyFont="1" applyBorder="1" applyAlignment="1">
      <alignment horizontal="left" vertical="top"/>
    </xf>
    <xf numFmtId="0" fontId="64" fillId="0" borderId="35" xfId="0" applyFont="1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6" xfId="0" applyBorder="1" applyAlignment="1">
      <alignment horizontal="left"/>
    </xf>
    <xf numFmtId="172" fontId="0" fillId="0" borderId="35" xfId="0" applyNumberFormat="1" applyBorder="1" applyAlignment="1">
      <alignment horizontal="center"/>
    </xf>
    <xf numFmtId="17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7" fontId="8" fillId="0" borderId="37" xfId="6" applyNumberFormat="1" applyFont="1" applyBorder="1" applyAlignment="1">
      <alignment horizontal="center" vertical="center"/>
    </xf>
    <xf numFmtId="0" fontId="22" fillId="0" borderId="0" xfId="9" applyFont="1" applyAlignment="1">
      <alignment horizontal="center" vertical="center"/>
    </xf>
    <xf numFmtId="0" fontId="8" fillId="0" borderId="35" xfId="9" applyFont="1" applyBorder="1" applyAlignment="1">
      <alignment horizontal="center" vertical="center"/>
    </xf>
    <xf numFmtId="0" fontId="8" fillId="0" borderId="36" xfId="9" applyFont="1" applyBorder="1" applyAlignment="1">
      <alignment horizontal="center" vertical="center"/>
    </xf>
    <xf numFmtId="0" fontId="8" fillId="0" borderId="34" xfId="9" applyFont="1" applyBorder="1" applyAlignment="1">
      <alignment horizontal="center" vertical="center"/>
    </xf>
    <xf numFmtId="0" fontId="27" fillId="0" borderId="0" xfId="0" applyFont="1" applyAlignment="1">
      <alignment horizontal="center"/>
    </xf>
  </cellXfs>
  <cellStyles count="15">
    <cellStyle name="Comma [0] 2" xfId="2" xr:uid="{00000000-0005-0000-0000-000000000000}"/>
    <cellStyle name="Comma [0] 3" xfId="7" xr:uid="{00000000-0005-0000-0000-000001000000}"/>
    <cellStyle name="Comma 2" xfId="3" xr:uid="{00000000-0005-0000-0000-000002000000}"/>
    <cellStyle name="Comma 3" xfId="6" xr:uid="{00000000-0005-0000-0000-000003000000}"/>
    <cellStyle name="Comma 4" xfId="13" xr:uid="{00000000-0005-0000-0000-000004000000}"/>
    <cellStyle name="Currency 2" xfId="8" xr:uid="{00000000-0005-0000-0000-000005000000}"/>
    <cellStyle name="Normal" xfId="0" builtinId="0"/>
    <cellStyle name="Normal 2" xfId="4" xr:uid="{00000000-0005-0000-0000-000007000000}"/>
    <cellStyle name="Normal 2 2" xfId="9" xr:uid="{00000000-0005-0000-0000-000008000000}"/>
    <cellStyle name="Normal 3" xfId="5" xr:uid="{00000000-0005-0000-0000-000009000000}"/>
    <cellStyle name="Normal 4" xfId="1" xr:uid="{00000000-0005-0000-0000-00000A000000}"/>
    <cellStyle name="Normal 4 2" xfId="10" xr:uid="{00000000-0005-0000-0000-00000B000000}"/>
    <cellStyle name="Normal 4 3" xfId="14" xr:uid="{00000000-0005-0000-0000-00000C000000}"/>
    <cellStyle name="Normal 5" xfId="11" xr:uid="{00000000-0005-0000-0000-00000D000000}"/>
    <cellStyle name="Normal 6" xfId="12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88446</xdr:colOff>
      <xdr:row>0</xdr:row>
      <xdr:rowOff>61233</xdr:rowOff>
    </xdr:from>
    <xdr:to>
      <xdr:col>2</xdr:col>
      <xdr:colOff>339050</xdr:colOff>
      <xdr:row>4</xdr:row>
      <xdr:rowOff>122799</xdr:rowOff>
    </xdr:to>
    <xdr:pic>
      <xdr:nvPicPr>
        <xdr:cNvPr id="4" name="Picture 3" descr="Lambang Dki Jakarta Png">
          <a:extLst>
            <a:ext uri="{FF2B5EF4-FFF2-40B4-BE49-F238E27FC236}">
              <a16:creationId xmlns:a16="http://schemas.microsoft.com/office/drawing/2014/main" id="{A3641589-F8A2-4211-A056-3D3E1CE95CA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46" y="61233"/>
          <a:ext cx="1189497" cy="93242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40822</xdr:colOff>
      <xdr:row>6</xdr:row>
      <xdr:rowOff>20410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59D9A5-BC5B-4E01-94FF-074F07962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36429" cy="1306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100853</xdr:rowOff>
    </xdr:from>
    <xdr:to>
      <xdr:col>4</xdr:col>
      <xdr:colOff>113732</xdr:colOff>
      <xdr:row>4</xdr:row>
      <xdr:rowOff>159217</xdr:rowOff>
    </xdr:to>
    <xdr:pic>
      <xdr:nvPicPr>
        <xdr:cNvPr id="4" name="Picture 3" descr="Lambang Dki Jakarta Png">
          <a:extLst>
            <a:ext uri="{FF2B5EF4-FFF2-40B4-BE49-F238E27FC236}">
              <a16:creationId xmlns:a16="http://schemas.microsoft.com/office/drawing/2014/main" id="{0454401E-4C50-49DB-A5E8-B96B2F73FD9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853"/>
          <a:ext cx="1189497" cy="93242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446635</xdr:colOff>
      <xdr:row>5</xdr:row>
      <xdr:rowOff>173691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C8A83A-9873-483A-A731-FD46385F2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36429" cy="12326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8</xdr:col>
      <xdr:colOff>676275</xdr:colOff>
      <xdr:row>6</xdr:row>
      <xdr:rowOff>47059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279"/>
        <a:stretch/>
      </xdr:blipFill>
      <xdr:spPr>
        <a:xfrm>
          <a:off x="0" y="85725"/>
          <a:ext cx="7696200" cy="11043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136072</xdr:colOff>
      <xdr:row>0</xdr:row>
      <xdr:rowOff>81642</xdr:rowOff>
    </xdr:from>
    <xdr:to>
      <xdr:col>3</xdr:col>
      <xdr:colOff>585106</xdr:colOff>
      <xdr:row>5</xdr:row>
      <xdr:rowOff>74839</xdr:rowOff>
    </xdr:to>
    <xdr:pic>
      <xdr:nvPicPr>
        <xdr:cNvPr id="2" name="Picture 1" descr="Lambang Dki Jakarta 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15" y="81642"/>
          <a:ext cx="1626052" cy="106135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34636</xdr:colOff>
      <xdr:row>6</xdr:row>
      <xdr:rowOff>24741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368551-016A-48C9-B80B-B0227BE65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70818" cy="13062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23813</xdr:colOff>
      <xdr:row>0</xdr:row>
      <xdr:rowOff>0</xdr:rowOff>
    </xdr:from>
    <xdr:to>
      <xdr:col>3</xdr:col>
      <xdr:colOff>538162</xdr:colOff>
      <xdr:row>4</xdr:row>
      <xdr:rowOff>130175</xdr:rowOff>
    </xdr:to>
    <xdr:pic>
      <xdr:nvPicPr>
        <xdr:cNvPr id="2" name="Picture 1" descr="Lambang Dki Jakarta 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3" y="0"/>
          <a:ext cx="1522412" cy="99536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98426</xdr:colOff>
      <xdr:row>0</xdr:row>
      <xdr:rowOff>92075</xdr:rowOff>
    </xdr:from>
    <xdr:to>
      <xdr:col>11</xdr:col>
      <xdr:colOff>688975</xdr:colOff>
      <xdr:row>6</xdr:row>
      <xdr:rowOff>168275</xdr:rowOff>
    </xdr:to>
    <xdr:pic>
      <xdr:nvPicPr>
        <xdr:cNvPr id="3" name="Picture 2" descr="Lambang Dki Jakarta 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1" y="92075"/>
          <a:ext cx="1431924" cy="1409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0</xdr:row>
      <xdr:rowOff>47625</xdr:rowOff>
    </xdr:from>
    <xdr:to>
      <xdr:col>10</xdr:col>
      <xdr:colOff>38100</xdr:colOff>
      <xdr:row>5</xdr:row>
      <xdr:rowOff>66675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704975" y="47625"/>
          <a:ext cx="4686300" cy="1009650"/>
        </a:xfrm>
        <a:prstGeom prst="roundRect">
          <a:avLst/>
        </a:prstGeom>
        <a:ln>
          <a:solidFill>
            <a:schemeClr val="dk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CV. Pustaka Cemerlang Indonesia</a:t>
          </a:r>
          <a:r>
            <a:rPr lang="id-ID" sz="1600" b="1"/>
            <a:t> </a:t>
          </a:r>
        </a:p>
        <a:p>
          <a:pPr algn="l"/>
          <a:r>
            <a:rPr lang="id-ID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Wisma Mitra Sunter Unit 3-03, Jl. Yos Sudarso KAV.89,</a:t>
          </a:r>
          <a:r>
            <a:rPr lang="id-ID"/>
            <a:t> </a:t>
          </a:r>
          <a:r>
            <a:rPr lang="id-ID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BOULEVARD MITRA SUNTER BLOK C2, Kel. Sunter Jaya</a:t>
          </a:r>
          <a:r>
            <a:rPr lang="id-ID"/>
            <a:t> </a:t>
          </a:r>
        </a:p>
        <a:p>
          <a:pPr algn="l"/>
          <a:r>
            <a:rPr lang="id-ID" u="sng">
              <a:solidFill>
                <a:schemeClr val="accent1"/>
              </a:solidFill>
            </a:rPr>
            <a:t>CV.PUSTAKACEMERLANGINDONESIA@GMAIL.COM</a:t>
          </a:r>
        </a:p>
        <a:p>
          <a:pPr algn="l"/>
          <a:endParaRPr lang="id-ID" sz="1100"/>
        </a:p>
      </xdr:txBody>
    </xdr:sp>
    <xdr:clientData/>
  </xdr:twoCellAnchor>
  <xdr:twoCellAnchor editAs="oneCell">
    <xdr:from>
      <xdr:col>0</xdr:col>
      <xdr:colOff>38100</xdr:colOff>
      <xdr:row>0</xdr:row>
      <xdr:rowOff>76200</xdr:rowOff>
    </xdr:from>
    <xdr:to>
      <xdr:col>4</xdr:col>
      <xdr:colOff>97631</xdr:colOff>
      <xdr:row>5</xdr:row>
      <xdr:rowOff>28574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76200"/>
          <a:ext cx="1581150" cy="9905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1</xdr:row>
      <xdr:rowOff>104775</xdr:rowOff>
    </xdr:from>
    <xdr:to>
      <xdr:col>2</xdr:col>
      <xdr:colOff>0</xdr:colOff>
      <xdr:row>6</xdr:row>
      <xdr:rowOff>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95275"/>
          <a:ext cx="1581150" cy="9905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0</xdr:row>
      <xdr:rowOff>47625</xdr:rowOff>
    </xdr:from>
    <xdr:to>
      <xdr:col>8</xdr:col>
      <xdr:colOff>581025</xdr:colOff>
      <xdr:row>5</xdr:row>
      <xdr:rowOff>66675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876425" y="47625"/>
          <a:ext cx="3781425" cy="1009650"/>
        </a:xfrm>
        <a:prstGeom prst="roundRect">
          <a:avLst/>
        </a:prstGeom>
        <a:ln>
          <a:solidFill>
            <a:schemeClr val="dk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CV. Pustaka Cemerlang Indonesia</a:t>
          </a:r>
          <a:r>
            <a:rPr lang="id-ID" sz="1600" b="1"/>
            <a:t> </a:t>
          </a:r>
        </a:p>
        <a:p>
          <a:pPr algn="l"/>
          <a:r>
            <a:rPr lang="id-ID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Wisma Mitra Sunter Unit 3-03, Jl. Yos Sudarso KAV.89,</a:t>
          </a:r>
          <a:r>
            <a:rPr lang="id-ID"/>
            <a:t> </a:t>
          </a:r>
          <a:r>
            <a:rPr lang="id-ID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BOULEVARD MITRA SUNTER BLOK C2, Kel. Sunter Jaya</a:t>
          </a:r>
          <a:r>
            <a:rPr lang="id-ID"/>
            <a:t> </a:t>
          </a:r>
        </a:p>
        <a:p>
          <a:pPr algn="l"/>
          <a:r>
            <a:rPr lang="id-ID" u="sng">
              <a:solidFill>
                <a:schemeClr val="accent1"/>
              </a:solidFill>
            </a:rPr>
            <a:t>CV.PUSTAKACEMERLANGINDONESIA@GMAIL.COM</a:t>
          </a:r>
        </a:p>
        <a:p>
          <a:pPr algn="l"/>
          <a:endParaRPr lang="id-ID" sz="1100"/>
        </a:p>
      </xdr:txBody>
    </xdr:sp>
    <xdr:clientData/>
  </xdr:twoCellAnchor>
  <xdr:twoCellAnchor editAs="oneCell">
    <xdr:from>
      <xdr:col>0</xdr:col>
      <xdr:colOff>38100</xdr:colOff>
      <xdr:row>0</xdr:row>
      <xdr:rowOff>76200</xdr:rowOff>
    </xdr:from>
    <xdr:to>
      <xdr:col>3</xdr:col>
      <xdr:colOff>276225</xdr:colOff>
      <xdr:row>5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76200"/>
          <a:ext cx="1762125" cy="9905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122464</xdr:rowOff>
    </xdr:from>
    <xdr:to>
      <xdr:col>1</xdr:col>
      <xdr:colOff>798019</xdr:colOff>
      <xdr:row>4</xdr:row>
      <xdr:rowOff>50868</xdr:rowOff>
    </xdr:to>
    <xdr:pic>
      <xdr:nvPicPr>
        <xdr:cNvPr id="4" name="Picture 3" descr="Lambang Dki Jakarta Png">
          <a:extLst>
            <a:ext uri="{FF2B5EF4-FFF2-40B4-BE49-F238E27FC236}">
              <a16:creationId xmlns:a16="http://schemas.microsoft.com/office/drawing/2014/main" id="{813B9BB7-C1BF-4A6B-A10D-45E73C0963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464"/>
          <a:ext cx="1165412" cy="7992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326572</xdr:colOff>
      <xdr:row>6</xdr:row>
      <xdr:rowOff>34017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E0ACD8-7AED-4888-B240-8C166B86B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36429" cy="13062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5604</xdr:colOff>
      <xdr:row>0</xdr:row>
      <xdr:rowOff>61631</xdr:rowOff>
    </xdr:from>
    <xdr:to>
      <xdr:col>2</xdr:col>
      <xdr:colOff>190501</xdr:colOff>
      <xdr:row>3</xdr:row>
      <xdr:rowOff>205347</xdr:rowOff>
    </xdr:to>
    <xdr:pic>
      <xdr:nvPicPr>
        <xdr:cNvPr id="2" name="Picture 1" descr="Lambang Dki Jakarta Png">
          <a:extLst>
            <a:ext uri="{FF2B5EF4-FFF2-40B4-BE49-F238E27FC236}">
              <a16:creationId xmlns:a16="http://schemas.microsoft.com/office/drawing/2014/main" id="{69368AD4-4AE0-4640-8376-F322D5AC4F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4" y="61631"/>
          <a:ext cx="1165412" cy="7992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10</xdr:col>
      <xdr:colOff>1030942</xdr:colOff>
      <xdr:row>5</xdr:row>
      <xdr:rowOff>117662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7AF1A4-A2B5-43A5-AE34-920B8BDA3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7939368" cy="117661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95251</xdr:rowOff>
    </xdr:from>
    <xdr:to>
      <xdr:col>3</xdr:col>
      <xdr:colOff>283415</xdr:colOff>
      <xdr:row>4</xdr:row>
      <xdr:rowOff>27923</xdr:rowOff>
    </xdr:to>
    <xdr:pic>
      <xdr:nvPicPr>
        <xdr:cNvPr id="4" name="Picture 3" descr="Lambang Dki Jakarta Png">
          <a:extLst>
            <a:ext uri="{FF2B5EF4-FFF2-40B4-BE49-F238E27FC236}">
              <a16:creationId xmlns:a16="http://schemas.microsoft.com/office/drawing/2014/main" id="{C3BF5C62-200F-409C-9C86-A6F4556F5B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1"/>
          <a:ext cx="1243853" cy="82167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451304</xdr:colOff>
      <xdr:row>6</xdr:row>
      <xdr:rowOff>52161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C4723E-2122-4F8C-9362-DC7C57E2D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36429" cy="130628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204790</xdr:rowOff>
    </xdr:from>
    <xdr:to>
      <xdr:col>2</xdr:col>
      <xdr:colOff>7844</xdr:colOff>
      <xdr:row>4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04790"/>
          <a:ext cx="933449" cy="8715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486334</xdr:colOff>
      <xdr:row>6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279"/>
        <a:stretch/>
      </xdr:blipFill>
      <xdr:spPr>
        <a:xfrm>
          <a:off x="0" y="0"/>
          <a:ext cx="7758952" cy="14830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22d09ede5d555ac/Desktop/TW%202%202026/KK09/BOP/rincian%20CV%20Pustaka%20Cemerlang%20Indonesia%20-%20Copy.xlsx" TargetMode="External"/><Relationship Id="rId1" Type="http://schemas.openxmlformats.org/officeDocument/2006/relationships/externalLinkPath" Target="rincian%20CV%20Pustaka%20Cemerlang%20Indonesia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ER\Desktop\NW\cv\SPj\Tahap%201%202023\SB06\PCI%200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ER\Downloads\MKG%200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DN%20KK%2015\Desktop\NW\cv\Berkas%20TW%201%20dan%202%202021\SPJ%20KK%2009%20TW%201\SPJ%20MKG%20F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4">
          <cell r="C24" t="str">
            <v>glass cleaner</v>
          </cell>
          <cell r="D24" t="str">
            <v>cair</v>
          </cell>
          <cell r="E24" t="str">
            <v>liter</v>
          </cell>
          <cell r="G24">
            <v>16000</v>
          </cell>
        </row>
        <row r="25">
          <cell r="C25" t="str">
            <v>dust cleaner</v>
          </cell>
          <cell r="D25" t="str">
            <v>cairan minyak pembersih keramik</v>
          </cell>
          <cell r="E25" t="str">
            <v>galon</v>
          </cell>
          <cell r="F25">
            <v>3</v>
          </cell>
          <cell r="G25">
            <v>185000</v>
          </cell>
        </row>
        <row r="26">
          <cell r="C26" t="str">
            <v>karbol</v>
          </cell>
          <cell r="D26" t="str">
            <v>800 ml wangi</v>
          </cell>
          <cell r="E26" t="str">
            <v>botol</v>
          </cell>
          <cell r="G26">
            <v>23000</v>
          </cell>
        </row>
        <row r="27">
          <cell r="C27" t="str">
            <v>sabun cuci piring</v>
          </cell>
          <cell r="D27" t="str">
            <v>3,7 liter</v>
          </cell>
          <cell r="E27" t="str">
            <v>jerigen</v>
          </cell>
          <cell r="F27">
            <v>3</v>
          </cell>
          <cell r="G27">
            <v>79000</v>
          </cell>
        </row>
        <row r="28">
          <cell r="C28" t="str">
            <v>pembersih  porselin</v>
          </cell>
          <cell r="D28" t="str">
            <v>isi 4 ltr</v>
          </cell>
          <cell r="E28" t="str">
            <v>galon</v>
          </cell>
          <cell r="F28">
            <v>3</v>
          </cell>
          <cell r="G28">
            <v>106000</v>
          </cell>
        </row>
        <row r="29">
          <cell r="C29" t="str">
            <v>sabun cuci tangan cair</v>
          </cell>
          <cell r="D29" t="str">
            <v>kemasan botol isi 1 ltr</v>
          </cell>
          <cell r="E29" t="str">
            <v>liter</v>
          </cell>
          <cell r="G29">
            <v>45000</v>
          </cell>
        </row>
        <row r="30">
          <cell r="C30" t="str">
            <v>kamper</v>
          </cell>
          <cell r="D30" t="str">
            <v>warna</v>
          </cell>
          <cell r="E30" t="str">
            <v>bungkus</v>
          </cell>
          <cell r="F30">
            <v>5</v>
          </cell>
          <cell r="G30">
            <v>64000</v>
          </cell>
        </row>
        <row r="31">
          <cell r="C31" t="str">
            <v>pengharum kloset</v>
          </cell>
          <cell r="D31" t="str">
            <v>standar Sni</v>
          </cell>
          <cell r="E31" t="str">
            <v>buah</v>
          </cell>
          <cell r="F31">
            <v>10</v>
          </cell>
          <cell r="G31">
            <v>23000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S"/>
      <sheetName val="SPP"/>
      <sheetName val="SURAT PENAWARAN"/>
      <sheetName val="SURAT NEGOSIASI"/>
      <sheetName val="SURAT PESANAN"/>
      <sheetName val="FAKTUR"/>
      <sheetName val="KWITANSI"/>
      <sheetName val="SURAT JALAN"/>
      <sheetName val="BAPB"/>
      <sheetName val="BAST"/>
      <sheetName val="BAPP"/>
      <sheetName val="Lamp BAPP"/>
    </sheetNames>
    <sheetDataSet>
      <sheetData sheetId="0" refreshError="1">
        <row r="7">
          <cell r="A7" t="str">
            <v>NPSN : 20104690</v>
          </cell>
        </row>
        <row r="17">
          <cell r="B17">
            <v>1</v>
          </cell>
          <cell r="C17" t="str">
            <v>Kamper</v>
          </cell>
          <cell r="F17">
            <v>3</v>
          </cell>
          <cell r="G17" t="str">
            <v xml:space="preserve">bks </v>
          </cell>
          <cell r="I17">
            <v>33000</v>
          </cell>
        </row>
        <row r="18">
          <cell r="B18">
            <v>2</v>
          </cell>
        </row>
        <row r="19">
          <cell r="B19">
            <v>3</v>
          </cell>
        </row>
      </sheetData>
      <sheetData sheetId="1" refreshError="1">
        <row r="1">
          <cell r="E1" t="str">
            <v>PEMERINTAH PROVINSI DAERAH KHUSUS IBUKOTA JAKARTA</v>
          </cell>
        </row>
        <row r="2">
          <cell r="E2" t="str">
            <v xml:space="preserve">DINAS PENDIDIKAN </v>
          </cell>
        </row>
        <row r="42">
          <cell r="B42" t="str">
            <v>Mengetahui,</v>
          </cell>
        </row>
        <row r="43">
          <cell r="B43" t="str">
            <v>Kepala Sekolah</v>
          </cell>
        </row>
      </sheetData>
      <sheetData sheetId="2" refreshError="1"/>
      <sheetData sheetId="3" refreshError="1">
        <row r="1">
          <cell r="D1" t="str">
            <v>PEMERINTAH PROVINSI DAERAH KHUSUS IBUKOTA JAKARTA</v>
          </cell>
        </row>
        <row r="2">
          <cell r="D2" t="str">
            <v xml:space="preserve">DINAS PENDIDIKAN </v>
          </cell>
        </row>
        <row r="26">
          <cell r="D26" t="str">
            <v>Jl. Yos Sudarso Kav. 89, Boulevard Mitra Sunter Blok C2, Sunter Jaya, Tanjung Priok</v>
          </cell>
        </row>
        <row r="52">
          <cell r="B52">
            <v>1</v>
          </cell>
        </row>
        <row r="53">
          <cell r="B53">
            <v>2</v>
          </cell>
        </row>
        <row r="54">
          <cell r="B54">
            <v>3</v>
          </cell>
        </row>
        <row r="55">
          <cell r="B55">
            <v>4</v>
          </cell>
        </row>
        <row r="56">
          <cell r="B56">
            <v>5</v>
          </cell>
        </row>
      </sheetData>
      <sheetData sheetId="4" refreshError="1">
        <row r="9">
          <cell r="L9" t="str">
            <v xml:space="preserve">     /PK.03.00</v>
          </cell>
        </row>
        <row r="12">
          <cell r="E12" t="str">
            <v>Pembelian Alat Kebersihan Maret</v>
          </cell>
        </row>
        <row r="63">
          <cell r="E63" t="str">
            <v>Pembelian Alat Kebersihan Maret</v>
          </cell>
        </row>
      </sheetData>
      <sheetData sheetId="5" refreshError="1"/>
      <sheetData sheetId="6" refreshError="1"/>
      <sheetData sheetId="7" refreshError="1"/>
      <sheetData sheetId="8" refreshError="1">
        <row r="23">
          <cell r="C23" t="str">
            <v>:</v>
          </cell>
        </row>
        <row r="24">
          <cell r="C24" t="str">
            <v>:</v>
          </cell>
        </row>
        <row r="25">
          <cell r="B25" t="str">
            <v>Alamat</v>
          </cell>
          <cell r="C25" t="str">
            <v>:</v>
          </cell>
          <cell r="D25" t="str">
            <v>Wisma Mitra Sunter 3-03</v>
          </cell>
        </row>
        <row r="26">
          <cell r="D26" t="str">
            <v>Jl. Yos Sudarso Kav. 89, Boulevard Mitra Sunter Blok C2, Sunter Jaya, Tanjung Priok</v>
          </cell>
        </row>
      </sheetData>
      <sheetData sheetId="9" refreshError="1">
        <row r="12">
          <cell r="B12" t="str">
            <v xml:space="preserve">Pada hari ini, Jumat Tanggal  Sepuluh Bulan Maret Tahun Dua Ribu Dua Puluh Tiga </v>
          </cell>
        </row>
        <row r="14">
          <cell r="B14" t="str">
            <v>Nama</v>
          </cell>
        </row>
        <row r="15">
          <cell r="B15" t="str">
            <v>Jabatan</v>
          </cell>
          <cell r="D15" t="str">
            <v>Direktur Utama</v>
          </cell>
        </row>
        <row r="22">
          <cell r="B22" t="str">
            <v>Nama</v>
          </cell>
        </row>
        <row r="23">
          <cell r="B23" t="str">
            <v>Jabatan</v>
          </cell>
        </row>
        <row r="24">
          <cell r="B24" t="str">
            <v>NIP</v>
          </cell>
        </row>
        <row r="25">
          <cell r="B25" t="str">
            <v>Instansi</v>
          </cell>
        </row>
        <row r="26">
          <cell r="B26" t="str">
            <v>Alamat</v>
          </cell>
        </row>
        <row r="33">
          <cell r="B33">
            <v>1</v>
          </cell>
        </row>
        <row r="58">
          <cell r="B58" t="str">
            <v>Direktur Utama</v>
          </cell>
        </row>
      </sheetData>
      <sheetData sheetId="10" refreshError="1">
        <row r="10">
          <cell r="H10" t="str">
            <v xml:space="preserve">      /BAPP-PCI/SB06/III/2023</v>
          </cell>
        </row>
        <row r="40">
          <cell r="B40" t="str">
            <v>PIHAK KEDUA</v>
          </cell>
          <cell r="J40" t="str">
            <v>PIHAK PERTAMA,</v>
          </cell>
        </row>
        <row r="41">
          <cell r="B41" t="str">
            <v>PENGGUNA ANGGARAN</v>
          </cell>
          <cell r="J41" t="str">
            <v>CV. Pustaka Cemerlang Indonesia</v>
          </cell>
        </row>
        <row r="42">
          <cell r="B42" t="str">
            <v>Kepala</v>
          </cell>
          <cell r="J42" t="str">
            <v>Direktur Utama</v>
          </cell>
        </row>
      </sheetData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S"/>
      <sheetName val="SPP"/>
      <sheetName val="SURAT PENAWARAN"/>
      <sheetName val="SURAT NEGOSIASI"/>
      <sheetName val="SURAT PESANAN"/>
      <sheetName val="FAKTUR MKG"/>
      <sheetName val="KWITANSI MKG"/>
      <sheetName val="SURAT JALAN"/>
      <sheetName val="BAPB"/>
      <sheetName val="BAST rekanan"/>
      <sheetName val="BAPP"/>
      <sheetName val="Lamp BAPP"/>
    </sheetNames>
    <sheetDataSet>
      <sheetData sheetId="0" refreshError="1"/>
      <sheetData sheetId="1" refreshError="1"/>
      <sheetData sheetId="2" refreshError="1"/>
      <sheetData sheetId="3" refreshError="1">
        <row r="7">
          <cell r="G7" t="str">
            <v>Kode Pos : 10640</v>
          </cell>
        </row>
        <row r="23">
          <cell r="C23" t="str">
            <v>Direktur Utama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S"/>
      <sheetName val="SPP"/>
      <sheetName val="SURAT PENAWARAN"/>
      <sheetName val="SURAT NEGOSIASI"/>
      <sheetName val="SURAT PESANAN"/>
      <sheetName val="FAKTUR MKG"/>
      <sheetName val="KWITANSI MKG"/>
      <sheetName val="SURAT JALAN"/>
      <sheetName val="BAPB"/>
      <sheetName val="BAST"/>
      <sheetName val="BAST rekanan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52">
          <cell r="E52" t="str">
            <v>Mengetahui,</v>
          </cell>
        </row>
        <row r="53">
          <cell r="E53" t="str">
            <v>Kepala Sekolah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A4" t="str">
            <v>SEKOLAH DASAR NEGERI KEBON KOSONG 09 PAGI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view="pageBreakPreview" topLeftCell="A9" zoomScale="70" zoomScaleNormal="70" zoomScaleSheetLayoutView="70" workbookViewId="0">
      <selection activeCell="E34" sqref="E34"/>
    </sheetView>
  </sheetViews>
  <sheetFormatPr defaultRowHeight="14.25" x14ac:dyDescent="0.45"/>
  <cols>
    <col min="1" max="1" width="4.1328125" customWidth="1"/>
    <col min="3" max="3" width="11" customWidth="1"/>
    <col min="4" max="4" width="3.1328125" customWidth="1"/>
    <col min="5" max="5" width="22.3984375" customWidth="1"/>
    <col min="6" max="6" width="4.73046875" customWidth="1"/>
    <col min="7" max="7" width="9" customWidth="1"/>
    <col min="8" max="8" width="23.73046875" customWidth="1"/>
    <col min="9" max="9" width="13.265625" customWidth="1"/>
    <col min="10" max="10" width="17" customWidth="1"/>
    <col min="11" max="11" width="0.86328125" customWidth="1"/>
  </cols>
  <sheetData>
    <row r="1" spans="1:11" ht="17.25" x14ac:dyDescent="0.45">
      <c r="A1" s="233" t="s">
        <v>52</v>
      </c>
      <c r="B1" s="233"/>
      <c r="C1" s="233"/>
      <c r="D1" s="233"/>
      <c r="E1" s="233"/>
      <c r="F1" s="233"/>
      <c r="G1" s="233"/>
      <c r="H1" s="233"/>
      <c r="I1" s="233"/>
      <c r="J1" s="233"/>
    </row>
    <row r="2" spans="1:11" ht="17.25" x14ac:dyDescent="0.45">
      <c r="A2" s="233" t="s">
        <v>109</v>
      </c>
      <c r="B2" s="233"/>
      <c r="C2" s="233"/>
      <c r="D2" s="233"/>
      <c r="E2" s="233"/>
      <c r="F2" s="233"/>
      <c r="G2" s="233"/>
      <c r="H2" s="233"/>
      <c r="I2" s="233"/>
      <c r="J2" s="233"/>
    </row>
    <row r="3" spans="1:11" ht="17.25" x14ac:dyDescent="0.45">
      <c r="A3" s="233" t="s">
        <v>235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</row>
    <row r="4" spans="1:11" ht="17.25" x14ac:dyDescent="0.45">
      <c r="A4" s="233" t="s">
        <v>236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</row>
    <row r="5" spans="1:11" ht="18" thickBot="1" x14ac:dyDescent="0.55000000000000004">
      <c r="A5" s="54"/>
      <c r="B5" s="54"/>
      <c r="C5" s="54"/>
      <c r="D5" s="240" t="s">
        <v>209</v>
      </c>
      <c r="E5" s="240"/>
      <c r="F5" s="240"/>
      <c r="G5" s="240"/>
      <c r="H5" s="240"/>
      <c r="I5" s="240"/>
      <c r="J5" s="55"/>
    </row>
    <row r="6" spans="1:11" ht="14.65" thickTop="1" x14ac:dyDescent="0.45"/>
    <row r="8" spans="1:11" ht="15.4" x14ac:dyDescent="0.45">
      <c r="A8" s="234" t="s">
        <v>66</v>
      </c>
      <c r="B8" s="234"/>
      <c r="C8" s="234"/>
      <c r="D8" s="234"/>
      <c r="E8" s="234"/>
      <c r="F8" s="234"/>
      <c r="G8" s="234"/>
      <c r="H8" s="234"/>
      <c r="I8" s="234"/>
      <c r="J8" s="234"/>
    </row>
    <row r="9" spans="1:11" ht="15.4" x14ac:dyDescent="0.45">
      <c r="A9" s="56"/>
      <c r="B9" s="56"/>
      <c r="C9" s="56"/>
      <c r="D9" s="56"/>
      <c r="E9" s="56"/>
      <c r="F9" s="56"/>
      <c r="G9" s="56"/>
    </row>
    <row r="10" spans="1:11" ht="15.75" x14ac:dyDescent="0.5">
      <c r="A10" s="6"/>
      <c r="B10" s="94" t="s">
        <v>190</v>
      </c>
      <c r="C10" s="94"/>
      <c r="D10" s="94" t="s">
        <v>1</v>
      </c>
      <c r="E10" s="94" t="s">
        <v>208</v>
      </c>
      <c r="F10" s="3"/>
      <c r="G10" s="89"/>
      <c r="H10" s="94"/>
      <c r="I10" s="92"/>
      <c r="J10" s="3"/>
      <c r="K10" s="3"/>
    </row>
    <row r="11" spans="1:11" ht="15.75" x14ac:dyDescent="0.5">
      <c r="B11" s="89" t="s">
        <v>217</v>
      </c>
      <c r="C11" s="89"/>
      <c r="D11" s="89" t="s">
        <v>1</v>
      </c>
      <c r="E11" s="95" t="s">
        <v>245</v>
      </c>
      <c r="F11" s="89"/>
      <c r="G11" s="1"/>
      <c r="H11" s="3"/>
      <c r="I11" s="3"/>
      <c r="J11" s="3"/>
      <c r="K11" s="3"/>
    </row>
    <row r="12" spans="1:11" ht="15.75" x14ac:dyDescent="0.5">
      <c r="B12" s="95" t="s">
        <v>67</v>
      </c>
      <c r="C12" s="89"/>
      <c r="D12" s="89" t="s">
        <v>1</v>
      </c>
      <c r="E12" s="95" t="s">
        <v>244</v>
      </c>
      <c r="F12" s="89"/>
      <c r="G12" s="89"/>
      <c r="H12" s="3"/>
      <c r="I12" s="3"/>
      <c r="J12" s="3"/>
      <c r="K12" s="3"/>
    </row>
    <row r="13" spans="1:11" ht="15.75" x14ac:dyDescent="0.5">
      <c r="B13" s="89" t="s">
        <v>218</v>
      </c>
      <c r="C13" s="89"/>
      <c r="D13" s="89" t="s">
        <v>1</v>
      </c>
      <c r="E13" s="95">
        <v>2026</v>
      </c>
      <c r="F13" s="89"/>
      <c r="G13" s="3"/>
      <c r="H13" s="89"/>
      <c r="I13" s="3"/>
      <c r="J13" s="3"/>
      <c r="K13" s="3"/>
    </row>
    <row r="14" spans="1:11" ht="15.75" x14ac:dyDescent="0.5">
      <c r="B14" s="89"/>
      <c r="C14" s="89"/>
      <c r="D14" s="89"/>
      <c r="E14" s="95"/>
      <c r="F14" s="89"/>
      <c r="G14" s="89"/>
      <c r="H14" s="89"/>
      <c r="I14" s="89"/>
      <c r="J14" s="3"/>
      <c r="K14" s="3"/>
    </row>
    <row r="15" spans="1:11" ht="15.75" x14ac:dyDescent="0.5">
      <c r="B15" s="89"/>
      <c r="C15" s="89"/>
      <c r="D15" s="89"/>
      <c r="E15" s="89"/>
      <c r="F15" s="89"/>
      <c r="G15" s="89"/>
      <c r="H15" s="96"/>
      <c r="I15" s="96"/>
      <c r="J15" s="3"/>
      <c r="K15" s="3"/>
    </row>
    <row r="16" spans="1:11" ht="15.75" x14ac:dyDescent="0.5">
      <c r="B16" s="87" t="s">
        <v>50</v>
      </c>
      <c r="C16" s="235" t="s">
        <v>37</v>
      </c>
      <c r="D16" s="236"/>
      <c r="E16" s="237"/>
      <c r="F16" s="235" t="s">
        <v>68</v>
      </c>
      <c r="G16" s="237"/>
      <c r="H16" s="88" t="s">
        <v>83</v>
      </c>
      <c r="I16" s="57" t="s">
        <v>69</v>
      </c>
      <c r="J16" s="238" t="s">
        <v>65</v>
      </c>
      <c r="K16" s="239"/>
    </row>
    <row r="17" spans="2:11" ht="25.9" customHeight="1" x14ac:dyDescent="0.45">
      <c r="B17" s="59">
        <v>1</v>
      </c>
      <c r="C17" s="246" t="str">
        <f>[1]Sheet1!C24</f>
        <v>glass cleaner</v>
      </c>
      <c r="D17" s="247"/>
      <c r="E17" s="248"/>
      <c r="F17" s="181">
        <v>15</v>
      </c>
      <c r="G17" s="97" t="str">
        <f>[1]Sheet1!E24</f>
        <v>liter</v>
      </c>
      <c r="H17" s="178" t="str">
        <f>[1]Sheet1!D24</f>
        <v>cair</v>
      </c>
      <c r="I17" s="182">
        <f>[1]Sheet1!G24</f>
        <v>16000</v>
      </c>
      <c r="J17" s="244">
        <f t="shared" ref="J17:J24" si="0">F17*I17</f>
        <v>240000</v>
      </c>
      <c r="K17" s="245"/>
    </row>
    <row r="18" spans="2:11" ht="33.75" customHeight="1" x14ac:dyDescent="0.45">
      <c r="B18" s="59">
        <v>2</v>
      </c>
      <c r="C18" s="246" t="str">
        <f>[1]Sheet1!C25</f>
        <v>dust cleaner</v>
      </c>
      <c r="D18" s="247"/>
      <c r="E18" s="248"/>
      <c r="F18" s="181">
        <f>[1]Sheet1!F25</f>
        <v>3</v>
      </c>
      <c r="G18" s="97" t="str">
        <f>[1]Sheet1!E25</f>
        <v>galon</v>
      </c>
      <c r="H18" s="178" t="str">
        <f>[1]Sheet1!D25</f>
        <v>cairan minyak pembersih keramik</v>
      </c>
      <c r="I18" s="182">
        <f>[1]Sheet1!G25</f>
        <v>185000</v>
      </c>
      <c r="J18" s="244">
        <f t="shared" si="0"/>
        <v>555000</v>
      </c>
      <c r="K18" s="245"/>
    </row>
    <row r="19" spans="2:11" ht="45" customHeight="1" x14ac:dyDescent="0.45">
      <c r="B19" s="59">
        <v>3</v>
      </c>
      <c r="C19" s="246" t="str">
        <f>[1]Sheet1!C26</f>
        <v>karbol</v>
      </c>
      <c r="D19" s="247"/>
      <c r="E19" s="248"/>
      <c r="F19" s="181">
        <v>5</v>
      </c>
      <c r="G19" s="97" t="str">
        <f>[1]Sheet1!E26</f>
        <v>botol</v>
      </c>
      <c r="H19" s="178" t="str">
        <f>[1]Sheet1!D26</f>
        <v>800 ml wangi</v>
      </c>
      <c r="I19" s="182">
        <f>[1]Sheet1!G26</f>
        <v>23000</v>
      </c>
      <c r="J19" s="244">
        <f t="shared" si="0"/>
        <v>115000</v>
      </c>
      <c r="K19" s="245"/>
    </row>
    <row r="20" spans="2:11" ht="15.75" customHeight="1" x14ac:dyDescent="0.45">
      <c r="B20" s="59">
        <v>4</v>
      </c>
      <c r="C20" s="246" t="str">
        <f>[1]Sheet1!C27</f>
        <v>sabun cuci piring</v>
      </c>
      <c r="D20" s="247"/>
      <c r="E20" s="248"/>
      <c r="F20" s="181">
        <f>[1]Sheet1!F27</f>
        <v>3</v>
      </c>
      <c r="G20" s="97" t="str">
        <f>[1]Sheet1!E27</f>
        <v>jerigen</v>
      </c>
      <c r="H20" s="178" t="str">
        <f>[1]Sheet1!D27</f>
        <v>3,7 liter</v>
      </c>
      <c r="I20" s="182">
        <f>[1]Sheet1!G27</f>
        <v>79000</v>
      </c>
      <c r="J20" s="244">
        <f t="shared" si="0"/>
        <v>237000</v>
      </c>
      <c r="K20" s="245"/>
    </row>
    <row r="21" spans="2:11" ht="15.75" customHeight="1" x14ac:dyDescent="0.45">
      <c r="B21" s="59">
        <v>5</v>
      </c>
      <c r="C21" s="246" t="str">
        <f>[1]Sheet1!C28</f>
        <v>pembersih  porselin</v>
      </c>
      <c r="D21" s="247"/>
      <c r="E21" s="248"/>
      <c r="F21" s="181">
        <f>[1]Sheet1!F28</f>
        <v>3</v>
      </c>
      <c r="G21" s="97" t="str">
        <f>[1]Sheet1!E28</f>
        <v>galon</v>
      </c>
      <c r="H21" s="178" t="str">
        <f>[1]Sheet1!D28</f>
        <v>isi 4 ltr</v>
      </c>
      <c r="I21" s="182">
        <f>[1]Sheet1!G28</f>
        <v>106000</v>
      </c>
      <c r="J21" s="244">
        <f t="shared" si="0"/>
        <v>318000</v>
      </c>
      <c r="K21" s="245"/>
    </row>
    <row r="22" spans="2:11" ht="15.75" customHeight="1" x14ac:dyDescent="0.45">
      <c r="B22" s="59">
        <v>6</v>
      </c>
      <c r="C22" s="246" t="str">
        <f>[1]Sheet1!C29</f>
        <v>sabun cuci tangan cair</v>
      </c>
      <c r="D22" s="247"/>
      <c r="E22" s="248"/>
      <c r="F22" s="181">
        <v>6</v>
      </c>
      <c r="G22" s="97" t="str">
        <f>[1]Sheet1!E29</f>
        <v>liter</v>
      </c>
      <c r="H22" s="178" t="str">
        <f>[1]Sheet1!D29</f>
        <v>kemasan botol isi 1 ltr</v>
      </c>
      <c r="I22" s="182">
        <f>[1]Sheet1!G29</f>
        <v>45000</v>
      </c>
      <c r="J22" s="244">
        <f t="shared" si="0"/>
        <v>270000</v>
      </c>
      <c r="K22" s="245"/>
    </row>
    <row r="23" spans="2:11" ht="15.75" customHeight="1" x14ac:dyDescent="0.45">
      <c r="B23" s="59">
        <v>7</v>
      </c>
      <c r="C23" s="246" t="str">
        <f>[1]Sheet1!C30</f>
        <v>kamper</v>
      </c>
      <c r="D23" s="247"/>
      <c r="E23" s="248"/>
      <c r="F23" s="181">
        <f>[1]Sheet1!F30</f>
        <v>5</v>
      </c>
      <c r="G23" s="97" t="str">
        <f>[1]Sheet1!E30</f>
        <v>bungkus</v>
      </c>
      <c r="H23" s="178" t="str">
        <f>[1]Sheet1!D30</f>
        <v>warna</v>
      </c>
      <c r="I23" s="182">
        <f>[1]Sheet1!G30</f>
        <v>64000</v>
      </c>
      <c r="J23" s="244">
        <f t="shared" si="0"/>
        <v>320000</v>
      </c>
      <c r="K23" s="245"/>
    </row>
    <row r="24" spans="2:11" ht="15.75" customHeight="1" x14ac:dyDescent="0.45">
      <c r="B24" s="59">
        <v>8</v>
      </c>
      <c r="C24" s="246" t="str">
        <f>[1]Sheet1!C31</f>
        <v>pengharum kloset</v>
      </c>
      <c r="D24" s="247"/>
      <c r="E24" s="248"/>
      <c r="F24" s="181">
        <f>[1]Sheet1!F31</f>
        <v>10</v>
      </c>
      <c r="G24" s="97" t="str">
        <f>[1]Sheet1!E31</f>
        <v>buah</v>
      </c>
      <c r="H24" s="178" t="str">
        <f>[1]Sheet1!D31</f>
        <v>standar Sni</v>
      </c>
      <c r="I24" s="182">
        <f>[1]Sheet1!G31</f>
        <v>23000</v>
      </c>
      <c r="J24" s="244">
        <f t="shared" si="0"/>
        <v>230000</v>
      </c>
      <c r="K24" s="245"/>
    </row>
    <row r="25" spans="2:11" ht="15.75" x14ac:dyDescent="0.5">
      <c r="B25" s="241" t="s">
        <v>78</v>
      </c>
      <c r="C25" s="242"/>
      <c r="D25" s="242"/>
      <c r="E25" s="242"/>
      <c r="F25" s="242"/>
      <c r="G25" s="242"/>
      <c r="H25" s="242"/>
      <c r="I25" s="243"/>
      <c r="J25" s="98">
        <f>SUM(J17:J24)</f>
        <v>2285000</v>
      </c>
      <c r="K25" s="85"/>
    </row>
    <row r="26" spans="2:11" ht="15.75" x14ac:dyDescent="0.5">
      <c r="B26" s="241" t="s">
        <v>146</v>
      </c>
      <c r="C26" s="242"/>
      <c r="D26" s="242"/>
      <c r="E26" s="242"/>
      <c r="F26" s="242"/>
      <c r="G26" s="242"/>
      <c r="H26" s="242"/>
      <c r="I26" s="243"/>
      <c r="J26" s="176">
        <f>J25*1.5%</f>
        <v>34275</v>
      </c>
      <c r="K26" s="85"/>
    </row>
    <row r="27" spans="2:11" ht="15.75" x14ac:dyDescent="0.5">
      <c r="B27" s="241" t="s">
        <v>107</v>
      </c>
      <c r="C27" s="242"/>
      <c r="D27" s="242"/>
      <c r="E27" s="242"/>
      <c r="F27" s="242"/>
      <c r="G27" s="242"/>
      <c r="H27" s="242"/>
      <c r="I27" s="243"/>
      <c r="J27" s="99">
        <f>J25*11%</f>
        <v>251350</v>
      </c>
      <c r="K27" s="86"/>
    </row>
    <row r="28" spans="2:11" ht="15.75" x14ac:dyDescent="0.5">
      <c r="B28" s="241" t="s">
        <v>65</v>
      </c>
      <c r="C28" s="242"/>
      <c r="D28" s="242"/>
      <c r="E28" s="242"/>
      <c r="F28" s="242"/>
      <c r="G28" s="242"/>
      <c r="H28" s="242"/>
      <c r="I28" s="243"/>
      <c r="J28" s="100">
        <f>J25+J27</f>
        <v>2536350</v>
      </c>
    </row>
    <row r="29" spans="2:11" x14ac:dyDescent="0.45">
      <c r="B29" s="6"/>
    </row>
    <row r="31" spans="2:11" ht="15" x14ac:dyDescent="0.45">
      <c r="B31" s="43"/>
      <c r="C31" s="43"/>
      <c r="D31" s="43"/>
      <c r="E31" s="43"/>
      <c r="F31" s="43"/>
      <c r="H31" s="101" t="s">
        <v>225</v>
      </c>
    </row>
    <row r="32" spans="2:11" ht="15.75" x14ac:dyDescent="0.5">
      <c r="B32" s="89" t="s">
        <v>101</v>
      </c>
      <c r="C32" s="89"/>
      <c r="D32" s="89"/>
      <c r="E32" s="89"/>
      <c r="F32" s="3"/>
      <c r="H32" s="89"/>
    </row>
    <row r="33" spans="2:8" ht="15.75" x14ac:dyDescent="0.5">
      <c r="B33" s="89" t="s">
        <v>219</v>
      </c>
      <c r="C33" s="89"/>
      <c r="D33" s="89"/>
      <c r="E33" s="89"/>
      <c r="F33" s="3"/>
      <c r="H33" s="89" t="s">
        <v>224</v>
      </c>
    </row>
    <row r="34" spans="2:8" ht="15.75" x14ac:dyDescent="0.5">
      <c r="B34" s="89"/>
      <c r="C34" s="89"/>
      <c r="D34" s="89"/>
      <c r="E34" s="89"/>
      <c r="F34" s="3"/>
      <c r="H34" s="89"/>
    </row>
    <row r="35" spans="2:8" ht="15.75" x14ac:dyDescent="0.5">
      <c r="B35" s="89"/>
      <c r="C35" s="89"/>
      <c r="D35" s="89"/>
      <c r="E35" s="89"/>
      <c r="F35" s="3"/>
      <c r="H35" s="89"/>
    </row>
    <row r="36" spans="2:8" ht="15.75" x14ac:dyDescent="0.5">
      <c r="B36" s="89"/>
      <c r="C36" s="89"/>
      <c r="D36" s="89"/>
      <c r="E36" s="89"/>
      <c r="F36" s="3"/>
      <c r="H36" s="89"/>
    </row>
    <row r="37" spans="2:8" ht="15.75" x14ac:dyDescent="0.5">
      <c r="B37" s="89"/>
      <c r="C37" s="89"/>
      <c r="D37" s="89"/>
      <c r="E37" s="89"/>
      <c r="F37" s="3"/>
      <c r="H37" s="89"/>
    </row>
    <row r="38" spans="2:8" ht="15.75" x14ac:dyDescent="0.5">
      <c r="B38" s="89"/>
      <c r="C38" s="89"/>
      <c r="D38" s="89"/>
      <c r="E38" s="89"/>
      <c r="F38" s="3"/>
      <c r="H38" s="89"/>
    </row>
    <row r="39" spans="2:8" ht="15.75" x14ac:dyDescent="0.5">
      <c r="B39" s="89"/>
      <c r="C39" s="89"/>
      <c r="D39" s="89"/>
      <c r="E39" s="89"/>
      <c r="F39" s="3"/>
      <c r="H39" s="89"/>
    </row>
    <row r="40" spans="2:8" ht="15.75" x14ac:dyDescent="0.5">
      <c r="B40" s="89"/>
      <c r="C40" s="89"/>
      <c r="D40" s="89"/>
      <c r="E40" s="90"/>
      <c r="F40" s="3"/>
      <c r="H40" s="89"/>
    </row>
    <row r="41" spans="2:8" ht="15.75" x14ac:dyDescent="0.5">
      <c r="B41" s="89"/>
      <c r="C41" s="91"/>
      <c r="D41" s="91"/>
      <c r="E41" s="91"/>
      <c r="F41" s="3"/>
      <c r="H41" s="89"/>
    </row>
    <row r="42" spans="2:8" ht="15.75" x14ac:dyDescent="0.5">
      <c r="B42" s="208" t="s">
        <v>220</v>
      </c>
      <c r="C42" s="92"/>
      <c r="D42" s="92"/>
      <c r="E42" s="92"/>
      <c r="F42" s="92"/>
      <c r="G42" s="3"/>
      <c r="H42" s="93" t="s">
        <v>222</v>
      </c>
    </row>
    <row r="43" spans="2:8" ht="15.4" x14ac:dyDescent="0.45">
      <c r="B43" s="92" t="s">
        <v>221</v>
      </c>
      <c r="C43" s="92"/>
      <c r="D43" s="92"/>
      <c r="E43" s="92"/>
      <c r="F43" s="92"/>
      <c r="G43" s="92"/>
      <c r="H43" s="92" t="s">
        <v>223</v>
      </c>
    </row>
    <row r="44" spans="2:8" x14ac:dyDescent="0.45">
      <c r="C44" s="42"/>
      <c r="D44" s="42"/>
      <c r="E44" s="42"/>
      <c r="F44" s="42"/>
      <c r="G44" s="42"/>
      <c r="H44" s="42"/>
    </row>
  </sheetData>
  <mergeCells count="29">
    <mergeCell ref="J22:K22"/>
    <mergeCell ref="J23:K23"/>
    <mergeCell ref="B25:I25"/>
    <mergeCell ref="B27:I27"/>
    <mergeCell ref="B28:I28"/>
    <mergeCell ref="B26:I26"/>
    <mergeCell ref="J17:K17"/>
    <mergeCell ref="J18:K18"/>
    <mergeCell ref="J19:K19"/>
    <mergeCell ref="J20:K20"/>
    <mergeCell ref="J24:K24"/>
    <mergeCell ref="C17:E17"/>
    <mergeCell ref="C18:E18"/>
    <mergeCell ref="C19:E19"/>
    <mergeCell ref="C20:E20"/>
    <mergeCell ref="C24:E24"/>
    <mergeCell ref="C21:E21"/>
    <mergeCell ref="C22:E22"/>
    <mergeCell ref="C23:E23"/>
    <mergeCell ref="J21:K21"/>
    <mergeCell ref="A1:J1"/>
    <mergeCell ref="A2:J2"/>
    <mergeCell ref="A8:J8"/>
    <mergeCell ref="C16:E16"/>
    <mergeCell ref="F16:G16"/>
    <mergeCell ref="J16:K16"/>
    <mergeCell ref="A3:K3"/>
    <mergeCell ref="A4:K4"/>
    <mergeCell ref="D5:I5"/>
  </mergeCells>
  <pageMargins left="0.7" right="0.7" top="0.75" bottom="0.75" header="0.3" footer="0.3"/>
  <pageSetup paperSize="10000"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7"/>
  <sheetViews>
    <sheetView view="pageBreakPreview" topLeftCell="A20" zoomScale="85" zoomScaleNormal="100" zoomScaleSheetLayoutView="85" workbookViewId="0">
      <selection activeCell="J47" sqref="J47"/>
    </sheetView>
  </sheetViews>
  <sheetFormatPr defaultRowHeight="14.25" x14ac:dyDescent="0.45"/>
  <cols>
    <col min="1" max="1" width="1.265625" customWidth="1"/>
    <col min="3" max="3" width="1.59765625" customWidth="1"/>
    <col min="4" max="4" width="3.1328125" customWidth="1"/>
    <col min="7" max="7" width="11.86328125" customWidth="1"/>
    <col min="8" max="8" width="5.73046875" customWidth="1"/>
    <col min="9" max="9" width="11.3984375" customWidth="1"/>
    <col min="10" max="10" width="28.3984375" customWidth="1"/>
    <col min="11" max="11" width="21.265625" customWidth="1"/>
  </cols>
  <sheetData>
    <row r="1" spans="1:11" ht="17.25" x14ac:dyDescent="0.45">
      <c r="A1" s="233" t="s">
        <v>52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</row>
    <row r="2" spans="1:11" ht="17.25" x14ac:dyDescent="0.45">
      <c r="A2" s="233" t="s">
        <v>109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</row>
    <row r="3" spans="1:11" ht="17.25" x14ac:dyDescent="0.45">
      <c r="A3" s="233" t="str">
        <f>HPS!A3</f>
        <v>SEKOLAH DASAR NEGERI KEBON KOSONG 09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</row>
    <row r="4" spans="1:11" ht="17.25" x14ac:dyDescent="0.45">
      <c r="A4" s="233" t="str">
        <f>HPS!A4</f>
        <v>Jl. Kemayoran Gempol no.32 RT 015.05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</row>
    <row r="5" spans="1:11" ht="14.65" thickBot="1" x14ac:dyDescent="0.5">
      <c r="A5" s="54"/>
      <c r="B5" s="54"/>
      <c r="C5" s="232" t="str">
        <f>HPS!D5</f>
        <v xml:space="preserve">       Jakarta Pusat 10630 email :sdnkk05pg@gmail.com</v>
      </c>
      <c r="D5" s="232"/>
      <c r="E5" s="232"/>
      <c r="F5" s="232"/>
      <c r="G5" s="232"/>
      <c r="H5" s="232"/>
      <c r="I5" s="232"/>
      <c r="J5" s="232"/>
      <c r="K5" s="55"/>
    </row>
    <row r="6" spans="1:11" ht="14.65" thickTop="1" x14ac:dyDescent="0.45"/>
    <row r="7" spans="1:11" x14ac:dyDescent="0.45">
      <c r="J7" s="69" t="str">
        <f>HPS!H31</f>
        <v>Jakarta, 2 Juni 2026</v>
      </c>
    </row>
    <row r="8" spans="1:11" x14ac:dyDescent="0.45">
      <c r="A8" s="6"/>
      <c r="B8" s="41" t="s">
        <v>45</v>
      </c>
      <c r="C8" s="41"/>
      <c r="D8" s="41" t="s">
        <v>1</v>
      </c>
      <c r="E8" s="41" t="s">
        <v>111</v>
      </c>
      <c r="F8" s="41"/>
      <c r="H8" s="41"/>
      <c r="I8" s="42"/>
    </row>
    <row r="9" spans="1:11" x14ac:dyDescent="0.45">
      <c r="B9" s="43" t="s">
        <v>46</v>
      </c>
      <c r="C9" s="43"/>
      <c r="D9" s="43" t="s">
        <v>1</v>
      </c>
      <c r="E9" s="43" t="s">
        <v>47</v>
      </c>
      <c r="F9" s="43"/>
      <c r="J9" s="43" t="s">
        <v>98</v>
      </c>
    </row>
    <row r="10" spans="1:11" x14ac:dyDescent="0.45">
      <c r="B10" s="44" t="s">
        <v>48</v>
      </c>
      <c r="C10" s="43"/>
      <c r="D10" s="43" t="s">
        <v>1</v>
      </c>
      <c r="E10" s="43" t="s">
        <v>70</v>
      </c>
      <c r="F10" s="43"/>
      <c r="I10" s="73" t="s">
        <v>99</v>
      </c>
      <c r="J10" s="45" t="s">
        <v>26</v>
      </c>
    </row>
    <row r="11" spans="1:11" x14ac:dyDescent="0.45">
      <c r="B11" s="43"/>
      <c r="C11" s="43"/>
      <c r="D11" s="43"/>
      <c r="E11" s="43"/>
      <c r="F11" s="43"/>
      <c r="H11" s="43"/>
      <c r="J11" s="43" t="s">
        <v>100</v>
      </c>
    </row>
    <row r="12" spans="1:11" x14ac:dyDescent="0.45">
      <c r="B12" s="43"/>
      <c r="C12" s="43"/>
      <c r="D12" s="43"/>
      <c r="E12" s="43"/>
      <c r="F12" s="43"/>
      <c r="G12" s="43"/>
      <c r="H12" s="43"/>
      <c r="I12" s="43"/>
    </row>
    <row r="13" spans="1:11" x14ac:dyDescent="0.45">
      <c r="B13" s="43" t="s">
        <v>54</v>
      </c>
      <c r="C13" s="43"/>
      <c r="D13" s="43"/>
      <c r="E13" s="43"/>
      <c r="F13" s="43"/>
      <c r="G13" s="43"/>
      <c r="H13" s="43"/>
      <c r="I13" s="43"/>
    </row>
    <row r="14" spans="1:11" x14ac:dyDescent="0.45">
      <c r="B14" s="43"/>
      <c r="C14" s="43"/>
      <c r="D14" s="43"/>
      <c r="E14" s="43"/>
      <c r="F14" s="43"/>
      <c r="G14" s="43"/>
      <c r="H14" s="43"/>
      <c r="I14" s="43"/>
    </row>
    <row r="15" spans="1:11" x14ac:dyDescent="0.45">
      <c r="B15" s="43" t="s">
        <v>105</v>
      </c>
      <c r="C15" s="43"/>
      <c r="D15" s="43"/>
      <c r="E15" s="43"/>
      <c r="F15" s="43"/>
      <c r="G15" s="43"/>
      <c r="H15" s="43"/>
      <c r="I15" s="43"/>
    </row>
    <row r="16" spans="1:11" x14ac:dyDescent="0.45">
      <c r="B16" s="43" t="s">
        <v>106</v>
      </c>
      <c r="C16" s="43"/>
      <c r="D16" s="43"/>
      <c r="E16" s="43"/>
      <c r="F16" s="43"/>
      <c r="G16" s="43"/>
      <c r="H16" s="43"/>
      <c r="I16" s="43"/>
    </row>
    <row r="17" spans="2:11" x14ac:dyDescent="0.45">
      <c r="B17" s="43" t="s">
        <v>226</v>
      </c>
      <c r="C17" s="43"/>
      <c r="D17" s="43"/>
      <c r="E17" s="43"/>
      <c r="F17" s="43"/>
      <c r="G17" s="43"/>
      <c r="H17" s="43"/>
      <c r="I17" s="43"/>
    </row>
    <row r="18" spans="2:11" x14ac:dyDescent="0.45">
      <c r="B18" s="43" t="s">
        <v>88</v>
      </c>
      <c r="C18" s="43"/>
      <c r="D18" s="43"/>
      <c r="E18" s="43"/>
      <c r="F18" s="43"/>
      <c r="G18" s="43"/>
      <c r="H18" s="43"/>
      <c r="I18" s="43"/>
    </row>
    <row r="19" spans="2:11" x14ac:dyDescent="0.45">
      <c r="B19" s="43"/>
      <c r="C19" s="43"/>
      <c r="D19" s="43"/>
      <c r="E19" s="43"/>
      <c r="F19" s="43"/>
      <c r="G19" s="43"/>
      <c r="H19" s="43"/>
      <c r="I19" s="43"/>
    </row>
    <row r="20" spans="2:11" ht="15" x14ac:dyDescent="0.45">
      <c r="B20" s="59" t="s">
        <v>21</v>
      </c>
      <c r="C20" s="253" t="s">
        <v>71</v>
      </c>
      <c r="D20" s="253"/>
      <c r="E20" s="253"/>
      <c r="F20" s="253"/>
      <c r="G20" s="253"/>
      <c r="H20" s="253" t="s">
        <v>72</v>
      </c>
      <c r="I20" s="253"/>
      <c r="J20" s="249" t="s">
        <v>69</v>
      </c>
      <c r="K20" s="249"/>
    </row>
    <row r="21" spans="2:11" ht="28.5" customHeight="1" x14ac:dyDescent="0.45">
      <c r="B21" s="59">
        <v>1</v>
      </c>
      <c r="C21" s="250" t="str">
        <f>HPS!C17</f>
        <v>glass cleaner</v>
      </c>
      <c r="D21" s="251"/>
      <c r="E21" s="251"/>
      <c r="F21" s="251"/>
      <c r="G21" s="252"/>
      <c r="H21" s="60">
        <f>HPS!F17</f>
        <v>15</v>
      </c>
      <c r="I21" s="60" t="str">
        <f>HPS!G17</f>
        <v>liter</v>
      </c>
      <c r="J21" s="249"/>
      <c r="K21" s="249"/>
    </row>
    <row r="22" spans="2:11" ht="15.75" x14ac:dyDescent="0.45">
      <c r="B22" s="59">
        <v>2</v>
      </c>
      <c r="C22" s="250" t="str">
        <f>HPS!C18</f>
        <v>dust cleaner</v>
      </c>
      <c r="D22" s="251"/>
      <c r="E22" s="251"/>
      <c r="F22" s="251"/>
      <c r="G22" s="252"/>
      <c r="H22" s="60">
        <f>HPS!F18</f>
        <v>3</v>
      </c>
      <c r="I22" s="60" t="str">
        <f>HPS!G18</f>
        <v>galon</v>
      </c>
      <c r="J22" s="249"/>
      <c r="K22" s="249"/>
    </row>
    <row r="23" spans="2:11" ht="15.75" x14ac:dyDescent="0.45">
      <c r="B23" s="59">
        <f>B22+1</f>
        <v>3</v>
      </c>
      <c r="C23" s="250" t="str">
        <f>HPS!C19</f>
        <v>karbol</v>
      </c>
      <c r="D23" s="251"/>
      <c r="E23" s="251"/>
      <c r="F23" s="251"/>
      <c r="G23" s="252"/>
      <c r="H23" s="60">
        <f>HPS!F19</f>
        <v>5</v>
      </c>
      <c r="I23" s="60" t="str">
        <f>HPS!G19</f>
        <v>botol</v>
      </c>
      <c r="J23" s="249"/>
      <c r="K23" s="249"/>
    </row>
    <row r="24" spans="2:11" ht="15.75" x14ac:dyDescent="0.45">
      <c r="B24" s="59">
        <f t="shared" ref="B24:B27" si="0">B23+1</f>
        <v>4</v>
      </c>
      <c r="C24" s="250" t="str">
        <f>HPS!C20</f>
        <v>sabun cuci piring</v>
      </c>
      <c r="D24" s="251"/>
      <c r="E24" s="251"/>
      <c r="F24" s="251"/>
      <c r="G24" s="252"/>
      <c r="H24" s="60">
        <f>HPS!F20</f>
        <v>3</v>
      </c>
      <c r="I24" s="60" t="str">
        <f>HPS!G20</f>
        <v>jerigen</v>
      </c>
      <c r="J24" s="249"/>
      <c r="K24" s="249"/>
    </row>
    <row r="25" spans="2:11" ht="15.75" x14ac:dyDescent="0.45">
      <c r="B25" s="59">
        <f t="shared" si="0"/>
        <v>5</v>
      </c>
      <c r="C25" s="250" t="str">
        <f>HPS!C21</f>
        <v>pembersih  porselin</v>
      </c>
      <c r="D25" s="251"/>
      <c r="E25" s="251"/>
      <c r="F25" s="251"/>
      <c r="G25" s="252"/>
      <c r="H25" s="60">
        <f>HPS!F21</f>
        <v>3</v>
      </c>
      <c r="I25" s="60" t="str">
        <f>HPS!G21</f>
        <v>galon</v>
      </c>
      <c r="J25" s="249"/>
      <c r="K25" s="249"/>
    </row>
    <row r="26" spans="2:11" ht="15.75" x14ac:dyDescent="0.45">
      <c r="B26" s="59">
        <f t="shared" si="0"/>
        <v>6</v>
      </c>
      <c r="C26" s="250" t="str">
        <f>HPS!C22</f>
        <v>sabun cuci tangan cair</v>
      </c>
      <c r="D26" s="251"/>
      <c r="E26" s="251"/>
      <c r="F26" s="251"/>
      <c r="G26" s="252"/>
      <c r="H26" s="60">
        <f>HPS!F22</f>
        <v>6</v>
      </c>
      <c r="I26" s="60" t="str">
        <f>HPS!G22</f>
        <v>liter</v>
      </c>
      <c r="J26" s="249"/>
      <c r="K26" s="249"/>
    </row>
    <row r="27" spans="2:11" ht="15.75" x14ac:dyDescent="0.45">
      <c r="B27" s="59">
        <f t="shared" si="0"/>
        <v>7</v>
      </c>
      <c r="C27" s="250" t="str">
        <f>HPS!C23</f>
        <v>kamper</v>
      </c>
      <c r="D27" s="251"/>
      <c r="E27" s="251"/>
      <c r="F27" s="251"/>
      <c r="G27" s="252"/>
      <c r="H27" s="60">
        <f>HPS!F23</f>
        <v>5</v>
      </c>
      <c r="I27" s="60" t="str">
        <f>HPS!G23</f>
        <v>bungkus</v>
      </c>
      <c r="J27" s="249"/>
      <c r="K27" s="249"/>
    </row>
    <row r="28" spans="2:11" ht="15.75" x14ac:dyDescent="0.45">
      <c r="B28" s="59">
        <f>B27+1</f>
        <v>8</v>
      </c>
      <c r="C28" s="250" t="str">
        <f>HPS!C24</f>
        <v>pengharum kloset</v>
      </c>
      <c r="D28" s="251"/>
      <c r="E28" s="251"/>
      <c r="F28" s="251"/>
      <c r="G28" s="252"/>
      <c r="H28" s="60">
        <f>HPS!F24</f>
        <v>10</v>
      </c>
      <c r="I28" s="60" t="str">
        <f>HPS!G24</f>
        <v>buah</v>
      </c>
      <c r="J28" s="249"/>
      <c r="K28" s="249"/>
    </row>
    <row r="29" spans="2:11" ht="15.75" x14ac:dyDescent="0.45">
      <c r="B29" s="59"/>
      <c r="C29" s="250"/>
      <c r="D29" s="251"/>
      <c r="E29" s="251"/>
      <c r="F29" s="251"/>
      <c r="G29" s="252"/>
      <c r="H29" s="60"/>
      <c r="I29" s="60"/>
      <c r="J29" s="249"/>
      <c r="K29" s="249"/>
    </row>
    <row r="30" spans="2:11" ht="15.75" x14ac:dyDescent="0.45">
      <c r="B30" s="59"/>
      <c r="C30" s="250"/>
      <c r="D30" s="251"/>
      <c r="E30" s="251"/>
      <c r="F30" s="251"/>
      <c r="G30" s="252"/>
      <c r="H30" s="60"/>
      <c r="I30" s="60"/>
      <c r="J30" s="249"/>
      <c r="K30" s="249"/>
    </row>
    <row r="31" spans="2:11" x14ac:dyDescent="0.45">
      <c r="B31" s="44" t="s">
        <v>73</v>
      </c>
      <c r="C31" s="44"/>
      <c r="D31" s="44"/>
      <c r="E31" s="44"/>
      <c r="F31" s="44"/>
      <c r="G31" s="44"/>
      <c r="H31" s="44"/>
      <c r="J31" s="44"/>
      <c r="K31" s="44"/>
    </row>
    <row r="32" spans="2:11" x14ac:dyDescent="0.45">
      <c r="B32" s="44"/>
      <c r="C32" s="44"/>
      <c r="D32" s="44"/>
      <c r="E32" s="44"/>
      <c r="F32" s="44"/>
      <c r="G32" s="44"/>
      <c r="H32" s="44"/>
      <c r="I32" s="44"/>
      <c r="J32" s="44"/>
      <c r="K32" s="44"/>
    </row>
    <row r="33" spans="2:11" x14ac:dyDescent="0.45">
      <c r="B33" s="44" t="s">
        <v>74</v>
      </c>
      <c r="C33" s="44"/>
      <c r="D33" s="44"/>
      <c r="E33" s="44"/>
      <c r="F33" s="44"/>
      <c r="G33" s="44"/>
      <c r="H33" s="44"/>
      <c r="I33" s="44"/>
      <c r="J33" s="44"/>
      <c r="K33" s="44"/>
    </row>
    <row r="34" spans="2:11" x14ac:dyDescent="0.45">
      <c r="B34" s="43"/>
      <c r="C34" s="43"/>
      <c r="D34" s="43"/>
      <c r="E34" s="43"/>
      <c r="F34" s="43"/>
      <c r="H34" s="46"/>
      <c r="I34" s="44"/>
      <c r="J34" s="46"/>
    </row>
    <row r="35" spans="2:11" x14ac:dyDescent="0.45">
      <c r="B35" s="44" t="str">
        <f>HPS!B32</f>
        <v>Mengetahui,</v>
      </c>
      <c r="C35" s="44"/>
      <c r="D35" s="44"/>
      <c r="E35" s="43"/>
      <c r="F35" s="43"/>
      <c r="I35" s="43"/>
      <c r="J35" s="44"/>
    </row>
    <row r="36" spans="2:11" x14ac:dyDescent="0.45">
      <c r="B36" s="44" t="str">
        <f>HPS!B33</f>
        <v>Kepala Sekolah SDN Kebon Kosong 09</v>
      </c>
      <c r="C36" s="44"/>
      <c r="D36" s="44"/>
      <c r="E36" s="43"/>
      <c r="F36" s="43"/>
      <c r="J36" s="43" t="str">
        <f>HPS!H33</f>
        <v>Bendahara SDN Kebon Kosong 09</v>
      </c>
    </row>
    <row r="37" spans="2:11" x14ac:dyDescent="0.45">
      <c r="B37" s="44"/>
      <c r="C37" s="44"/>
      <c r="D37" s="44"/>
      <c r="E37" s="43"/>
      <c r="F37" s="43"/>
      <c r="J37" s="43"/>
    </row>
    <row r="38" spans="2:11" x14ac:dyDescent="0.45">
      <c r="B38" s="44"/>
      <c r="C38" s="44"/>
      <c r="D38" s="44"/>
      <c r="E38" s="43"/>
      <c r="F38" s="43"/>
      <c r="J38" s="43"/>
    </row>
    <row r="39" spans="2:11" x14ac:dyDescent="0.45">
      <c r="B39" s="44"/>
      <c r="C39" s="44"/>
      <c r="D39" s="44"/>
      <c r="E39" s="43"/>
      <c r="F39" s="43"/>
      <c r="J39" s="43"/>
    </row>
    <row r="40" spans="2:11" x14ac:dyDescent="0.45">
      <c r="B40" s="44"/>
      <c r="C40" s="44"/>
      <c r="D40" s="44"/>
      <c r="E40" s="43"/>
      <c r="F40" s="43"/>
      <c r="J40" s="43"/>
    </row>
    <row r="41" spans="2:11" x14ac:dyDescent="0.45">
      <c r="B41" s="44"/>
      <c r="C41" s="44"/>
      <c r="D41" s="44"/>
      <c r="E41" s="43"/>
      <c r="F41" s="43"/>
      <c r="J41" s="43"/>
    </row>
    <row r="42" spans="2:11" x14ac:dyDescent="0.45">
      <c r="B42" s="44"/>
      <c r="C42" s="44"/>
      <c r="D42" s="44"/>
      <c r="E42" s="43"/>
      <c r="F42" s="43"/>
      <c r="J42" s="43"/>
    </row>
    <row r="43" spans="2:11" x14ac:dyDescent="0.45">
      <c r="B43" s="44"/>
      <c r="C43" s="44"/>
      <c r="D43" s="44"/>
      <c r="E43" s="43"/>
      <c r="F43" s="43"/>
      <c r="J43" s="43"/>
    </row>
    <row r="44" spans="2:11" x14ac:dyDescent="0.45">
      <c r="B44" s="44"/>
      <c r="C44" s="44"/>
      <c r="D44" s="44"/>
      <c r="E44" s="43"/>
      <c r="F44" s="43"/>
      <c r="J44" s="43"/>
    </row>
    <row r="45" spans="2:11" x14ac:dyDescent="0.45">
      <c r="B45" s="44" t="str">
        <f>HPS!B42</f>
        <v>Khairunnisa</v>
      </c>
      <c r="C45" s="44"/>
      <c r="D45" s="44"/>
      <c r="E45" s="43"/>
      <c r="F45" s="43"/>
      <c r="J45" s="43" t="str">
        <f>HPS!H42</f>
        <v>Tri Wahyuni</v>
      </c>
    </row>
    <row r="46" spans="2:11" x14ac:dyDescent="0.45">
      <c r="B46" s="44" t="str">
        <f>HPS!B43</f>
        <v>NIP. 198402112011012010</v>
      </c>
      <c r="C46" s="44"/>
      <c r="D46" s="44"/>
      <c r="E46" s="43"/>
      <c r="F46" s="58"/>
      <c r="J46" s="43" t="str">
        <f>HPS!H43</f>
        <v>NIP. 196804212016102001</v>
      </c>
    </row>
    <row r="47" spans="2:11" x14ac:dyDescent="0.45">
      <c r="B47" s="43"/>
      <c r="C47" s="43"/>
      <c r="D47" s="43"/>
      <c r="E47" s="47"/>
      <c r="F47" s="47"/>
      <c r="J47" s="43"/>
    </row>
  </sheetData>
  <mergeCells count="28">
    <mergeCell ref="A1:K1"/>
    <mergeCell ref="A2:K2"/>
    <mergeCell ref="A3:K3"/>
    <mergeCell ref="A4:K4"/>
    <mergeCell ref="C20:G20"/>
    <mergeCell ref="H20:I20"/>
    <mergeCell ref="J20:K20"/>
    <mergeCell ref="C22:G22"/>
    <mergeCell ref="C30:G30"/>
    <mergeCell ref="J22:K22"/>
    <mergeCell ref="J30:K30"/>
    <mergeCell ref="C5:J5"/>
    <mergeCell ref="C21:G21"/>
    <mergeCell ref="J21:K21"/>
    <mergeCell ref="C27:G27"/>
    <mergeCell ref="C28:G28"/>
    <mergeCell ref="C29:G29"/>
    <mergeCell ref="J27:K27"/>
    <mergeCell ref="J28:K28"/>
    <mergeCell ref="J29:K29"/>
    <mergeCell ref="J23:K23"/>
    <mergeCell ref="J24:K24"/>
    <mergeCell ref="J25:K25"/>
    <mergeCell ref="J26:K26"/>
    <mergeCell ref="C23:G23"/>
    <mergeCell ref="C24:G24"/>
    <mergeCell ref="C25:G25"/>
    <mergeCell ref="C26:G26"/>
  </mergeCells>
  <pageMargins left="0.31496062992125984" right="0.31496062992125984" top="0.74803149606299213" bottom="0.74803149606299213" header="0.31496062992125984" footer="0.31496062992125984"/>
  <pageSetup paperSize="5" scale="8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8:J41"/>
  <sheetViews>
    <sheetView view="pageBreakPreview" zoomScale="85" zoomScaleNormal="100" zoomScaleSheetLayoutView="85" workbookViewId="0">
      <selection activeCell="B9" sqref="B9"/>
    </sheetView>
  </sheetViews>
  <sheetFormatPr defaultColWidth="8.86328125" defaultRowHeight="14.25" x14ac:dyDescent="0.45"/>
  <cols>
    <col min="1" max="1" width="9" customWidth="1"/>
    <col min="3" max="3" width="2.73046875" customWidth="1"/>
    <col min="4" max="4" width="21.86328125" customWidth="1"/>
    <col min="6" max="6" width="11" customWidth="1"/>
    <col min="7" max="7" width="20.59765625" customWidth="1"/>
    <col min="9" max="9" width="14.3984375" customWidth="1"/>
  </cols>
  <sheetData>
    <row r="8" spans="1:10" x14ac:dyDescent="0.45">
      <c r="A8" s="42" t="s">
        <v>21</v>
      </c>
      <c r="B8" s="42" t="s">
        <v>251</v>
      </c>
      <c r="D8" s="42"/>
      <c r="E8" s="42"/>
      <c r="F8" s="42"/>
      <c r="G8" s="42"/>
      <c r="H8" s="42" t="s">
        <v>230</v>
      </c>
      <c r="J8" s="42"/>
    </row>
    <row r="9" spans="1:10" x14ac:dyDescent="0.45">
      <c r="A9" s="42" t="s">
        <v>46</v>
      </c>
      <c r="B9" s="42" t="s">
        <v>60</v>
      </c>
      <c r="D9" s="42"/>
      <c r="E9" s="42"/>
      <c r="F9" s="42"/>
      <c r="G9" s="42"/>
      <c r="H9" s="42"/>
      <c r="I9" s="42"/>
      <c r="J9" s="42"/>
    </row>
    <row r="10" spans="1:10" x14ac:dyDescent="0.45">
      <c r="A10" s="42" t="s">
        <v>48</v>
      </c>
      <c r="B10" s="42" t="s">
        <v>58</v>
      </c>
      <c r="D10" s="42"/>
      <c r="E10" s="42"/>
      <c r="F10" s="42"/>
      <c r="G10" s="42"/>
      <c r="H10" s="42"/>
      <c r="I10" s="42"/>
      <c r="J10" s="42"/>
    </row>
    <row r="11" spans="1:10" x14ac:dyDescent="0.45">
      <c r="A11" s="42"/>
      <c r="B11" s="42" t="s">
        <v>59</v>
      </c>
      <c r="C11" s="42"/>
      <c r="D11" s="42"/>
      <c r="E11" s="42"/>
      <c r="F11" s="42"/>
      <c r="G11" s="42"/>
      <c r="H11" s="42"/>
      <c r="I11" s="42"/>
      <c r="J11" s="42"/>
    </row>
    <row r="12" spans="1:10" x14ac:dyDescent="0.45">
      <c r="A12" s="42"/>
      <c r="B12" s="42"/>
      <c r="C12" s="42"/>
      <c r="D12" s="42"/>
      <c r="E12" s="42"/>
      <c r="F12" s="42"/>
      <c r="G12" s="42"/>
      <c r="H12" s="42"/>
      <c r="I12" s="42"/>
      <c r="J12" s="42"/>
    </row>
    <row r="13" spans="1:10" x14ac:dyDescent="0.45">
      <c r="A13" s="42" t="s">
        <v>54</v>
      </c>
      <c r="B13" s="42"/>
      <c r="C13" s="42"/>
      <c r="D13" s="42"/>
      <c r="E13" s="42"/>
      <c r="F13" s="42"/>
      <c r="G13" s="42"/>
      <c r="H13" s="42"/>
      <c r="I13" s="42"/>
    </row>
    <row r="14" spans="1:10" x14ac:dyDescent="0.45">
      <c r="A14" s="42"/>
      <c r="B14" s="42"/>
      <c r="C14" s="42"/>
      <c r="D14" s="42"/>
      <c r="E14" s="42"/>
      <c r="F14" s="42"/>
      <c r="G14" s="42"/>
      <c r="H14" s="42"/>
      <c r="I14" s="42"/>
    </row>
    <row r="15" spans="1:10" x14ac:dyDescent="0.45">
      <c r="A15" s="42" t="s">
        <v>103</v>
      </c>
      <c r="B15" s="42"/>
      <c r="C15" s="42"/>
      <c r="D15" s="42"/>
      <c r="E15" s="42"/>
      <c r="F15" s="42"/>
      <c r="G15" s="42"/>
      <c r="H15" s="42"/>
      <c r="I15" s="42"/>
    </row>
    <row r="16" spans="1:10" x14ac:dyDescent="0.45">
      <c r="A16" s="42" t="s">
        <v>229</v>
      </c>
      <c r="B16" s="42"/>
      <c r="C16" s="42"/>
      <c r="D16" s="42"/>
      <c r="E16" s="42"/>
      <c r="F16" s="42"/>
      <c r="G16" s="42"/>
      <c r="H16" s="42"/>
      <c r="I16" s="42"/>
    </row>
    <row r="17" spans="1:9" x14ac:dyDescent="0.45">
      <c r="A17" s="42" t="s">
        <v>55</v>
      </c>
      <c r="B17" s="42"/>
      <c r="C17" s="42"/>
      <c r="D17" s="42"/>
      <c r="E17" s="42"/>
      <c r="F17" s="42"/>
      <c r="G17" s="42"/>
      <c r="H17" s="42"/>
      <c r="I17" s="42"/>
    </row>
    <row r="18" spans="1:9" x14ac:dyDescent="0.45">
      <c r="A18" s="42" t="s">
        <v>56</v>
      </c>
      <c r="B18" s="42"/>
      <c r="C18" s="42"/>
      <c r="D18" s="42"/>
      <c r="E18" s="42"/>
      <c r="F18" s="42"/>
      <c r="G18" s="42"/>
      <c r="H18" s="42"/>
      <c r="I18" s="42"/>
    </row>
    <row r="19" spans="1:9" x14ac:dyDescent="0.45">
      <c r="A19" s="42"/>
      <c r="B19" s="42"/>
      <c r="C19" s="42"/>
      <c r="D19" s="42"/>
      <c r="E19" s="42"/>
      <c r="F19" s="42"/>
      <c r="G19" s="42"/>
      <c r="H19" s="42"/>
      <c r="I19" s="42"/>
    </row>
    <row r="20" spans="1:9" x14ac:dyDescent="0.45">
      <c r="A20" s="34" t="s">
        <v>21</v>
      </c>
      <c r="B20" s="257" t="s">
        <v>37</v>
      </c>
      <c r="C20" s="258"/>
      <c r="D20" s="259"/>
      <c r="E20" s="40" t="s">
        <v>38</v>
      </c>
      <c r="F20" s="34" t="s">
        <v>39</v>
      </c>
      <c r="G20" s="76" t="s">
        <v>69</v>
      </c>
    </row>
    <row r="21" spans="1:9" ht="30" customHeight="1" x14ac:dyDescent="0.45">
      <c r="A21" s="35">
        <v>1</v>
      </c>
      <c r="B21" s="254" t="str">
        <f>HPS!C17</f>
        <v>glass cleaner</v>
      </c>
      <c r="C21" s="255"/>
      <c r="D21" s="256"/>
      <c r="E21" s="77">
        <f>HPS!F17</f>
        <v>15</v>
      </c>
      <c r="F21" s="78" t="str">
        <f>HPS!G17</f>
        <v>liter</v>
      </c>
      <c r="G21" s="79">
        <f>HPS!J17+5000</f>
        <v>245000</v>
      </c>
    </row>
    <row r="22" spans="1:9" x14ac:dyDescent="0.45">
      <c r="A22" s="35">
        <v>2</v>
      </c>
      <c r="B22" s="254" t="str">
        <f>HPS!C18</f>
        <v>dust cleaner</v>
      </c>
      <c r="C22" s="255"/>
      <c r="D22" s="256"/>
      <c r="E22" s="77">
        <f>HPS!F18</f>
        <v>3</v>
      </c>
      <c r="F22" s="78" t="str">
        <f>HPS!G18</f>
        <v>galon</v>
      </c>
      <c r="G22" s="79">
        <f>HPS!J18+5000</f>
        <v>560000</v>
      </c>
    </row>
    <row r="23" spans="1:9" x14ac:dyDescent="0.45">
      <c r="A23" s="35">
        <v>3</v>
      </c>
      <c r="B23" s="254" t="str">
        <f>HPS!C19</f>
        <v>karbol</v>
      </c>
      <c r="C23" s="255"/>
      <c r="D23" s="256"/>
      <c r="E23" s="77">
        <f>HPS!F19</f>
        <v>5</v>
      </c>
      <c r="F23" s="78" t="str">
        <f>HPS!G19</f>
        <v>botol</v>
      </c>
      <c r="G23" s="79">
        <f>HPS!J19+5000</f>
        <v>120000</v>
      </c>
    </row>
    <row r="24" spans="1:9" x14ac:dyDescent="0.45">
      <c r="A24" s="35">
        <v>4</v>
      </c>
      <c r="B24" s="254" t="str">
        <f>HPS!C20</f>
        <v>sabun cuci piring</v>
      </c>
      <c r="C24" s="255"/>
      <c r="D24" s="256"/>
      <c r="E24" s="77">
        <f>HPS!F20</f>
        <v>3</v>
      </c>
      <c r="F24" s="78" t="str">
        <f>HPS!G20</f>
        <v>jerigen</v>
      </c>
      <c r="G24" s="79">
        <f>HPS!J20+5000</f>
        <v>242000</v>
      </c>
    </row>
    <row r="25" spans="1:9" x14ac:dyDescent="0.45">
      <c r="A25" s="35">
        <f>A24+1</f>
        <v>5</v>
      </c>
      <c r="B25" s="254" t="str">
        <f>HPS!C21</f>
        <v>pembersih  porselin</v>
      </c>
      <c r="C25" s="255"/>
      <c r="D25" s="256"/>
      <c r="E25" s="77">
        <f>HPS!F21</f>
        <v>3</v>
      </c>
      <c r="F25" s="78" t="str">
        <f>HPS!G21</f>
        <v>galon</v>
      </c>
      <c r="G25" s="79">
        <f>HPS!J21+5000</f>
        <v>323000</v>
      </c>
    </row>
    <row r="26" spans="1:9" x14ac:dyDescent="0.45">
      <c r="A26" s="35">
        <f t="shared" ref="A26:A28" si="0">A25+1</f>
        <v>6</v>
      </c>
      <c r="B26" s="254" t="str">
        <f>HPS!C22</f>
        <v>sabun cuci tangan cair</v>
      </c>
      <c r="C26" s="255"/>
      <c r="D26" s="256"/>
      <c r="E26" s="77">
        <f>HPS!F22</f>
        <v>6</v>
      </c>
      <c r="F26" s="78" t="str">
        <f>HPS!G22</f>
        <v>liter</v>
      </c>
      <c r="G26" s="79">
        <f>HPS!J22+5000</f>
        <v>275000</v>
      </c>
    </row>
    <row r="27" spans="1:9" x14ac:dyDescent="0.45">
      <c r="A27" s="35">
        <f t="shared" si="0"/>
        <v>7</v>
      </c>
      <c r="B27" s="254" t="str">
        <f>HPS!C23</f>
        <v>kamper</v>
      </c>
      <c r="C27" s="255"/>
      <c r="D27" s="256"/>
      <c r="E27" s="77">
        <f>HPS!F23</f>
        <v>5</v>
      </c>
      <c r="F27" s="78" t="str">
        <f>HPS!G23</f>
        <v>bungkus</v>
      </c>
      <c r="G27" s="79">
        <f>HPS!J23+5000</f>
        <v>325000</v>
      </c>
    </row>
    <row r="28" spans="1:9" x14ac:dyDescent="0.45">
      <c r="A28" s="35">
        <f t="shared" si="0"/>
        <v>8</v>
      </c>
      <c r="B28" s="254" t="str">
        <f>HPS!C24</f>
        <v>pengharum kloset</v>
      </c>
      <c r="C28" s="255"/>
      <c r="D28" s="256"/>
      <c r="E28" s="77">
        <f>HPS!F24</f>
        <v>10</v>
      </c>
      <c r="F28" s="78" t="str">
        <f>HPS!G24</f>
        <v>buah</v>
      </c>
      <c r="G28" s="79">
        <f>HPS!J24+5000</f>
        <v>235000</v>
      </c>
    </row>
    <row r="29" spans="1:9" x14ac:dyDescent="0.45">
      <c r="A29" s="35"/>
      <c r="B29" s="254"/>
      <c r="C29" s="255"/>
      <c r="D29" s="256"/>
      <c r="E29" s="77"/>
      <c r="F29" s="78"/>
      <c r="G29" s="79"/>
    </row>
    <row r="30" spans="1:9" x14ac:dyDescent="0.45">
      <c r="A30" s="35"/>
      <c r="B30" s="254"/>
      <c r="C30" s="255"/>
      <c r="D30" s="256"/>
      <c r="E30" s="77"/>
      <c r="F30" s="78"/>
      <c r="G30" s="79"/>
    </row>
    <row r="31" spans="1:9" x14ac:dyDescent="0.45">
      <c r="A31" s="42" t="s">
        <v>102</v>
      </c>
      <c r="B31" s="42"/>
      <c r="H31" s="42"/>
      <c r="I31" s="42"/>
    </row>
    <row r="32" spans="1:9" x14ac:dyDescent="0.45">
      <c r="A32" s="42"/>
      <c r="B32" s="42"/>
      <c r="H32" s="42"/>
      <c r="I32" s="42"/>
    </row>
    <row r="33" spans="1:9" x14ac:dyDescent="0.45">
      <c r="A33" s="42" t="s">
        <v>57</v>
      </c>
      <c r="B33" s="42"/>
      <c r="H33" s="42"/>
      <c r="I33" s="42"/>
    </row>
    <row r="34" spans="1:9" x14ac:dyDescent="0.45">
      <c r="A34" s="42"/>
      <c r="B34" s="42"/>
      <c r="C34" s="42"/>
      <c r="D34" s="42"/>
      <c r="E34" s="42"/>
      <c r="F34" s="42"/>
      <c r="G34" s="42"/>
      <c r="H34" s="42"/>
      <c r="I34" s="42"/>
    </row>
    <row r="35" spans="1:9" x14ac:dyDescent="0.45">
      <c r="A35" s="42"/>
      <c r="B35" s="42"/>
      <c r="C35" s="42"/>
      <c r="D35" s="42"/>
      <c r="E35" s="42"/>
      <c r="F35" s="42"/>
      <c r="G35" s="42"/>
      <c r="H35" s="42"/>
      <c r="I35" s="42"/>
    </row>
    <row r="36" spans="1:9" x14ac:dyDescent="0.45">
      <c r="A36" s="42"/>
      <c r="B36" s="42"/>
      <c r="C36" s="42"/>
      <c r="D36" s="42"/>
      <c r="E36" s="42"/>
      <c r="F36" s="42"/>
      <c r="G36" s="42"/>
      <c r="H36" s="42"/>
    </row>
    <row r="37" spans="1:9" x14ac:dyDescent="0.45">
      <c r="A37" s="42"/>
      <c r="B37" s="42"/>
      <c r="C37" s="42"/>
      <c r="D37" s="42"/>
      <c r="E37" s="42"/>
      <c r="F37" s="42"/>
      <c r="G37" s="42"/>
    </row>
    <row r="38" spans="1:9" x14ac:dyDescent="0.45">
      <c r="A38" s="42" t="s">
        <v>207</v>
      </c>
      <c r="C38" s="42"/>
      <c r="D38" s="42"/>
      <c r="E38" s="42"/>
      <c r="F38" s="42"/>
      <c r="G38" s="42"/>
    </row>
    <row r="39" spans="1:9" x14ac:dyDescent="0.45">
      <c r="C39" s="42"/>
      <c r="D39" s="42"/>
      <c r="E39" s="42"/>
      <c r="F39" s="42"/>
      <c r="G39" s="42"/>
    </row>
    <row r="40" spans="1:9" x14ac:dyDescent="0.45">
      <c r="C40" s="42"/>
      <c r="D40" s="42"/>
      <c r="E40" s="42"/>
      <c r="F40" s="42"/>
      <c r="G40" s="42"/>
    </row>
    <row r="41" spans="1:9" x14ac:dyDescent="0.45">
      <c r="C41" s="42"/>
      <c r="D41" s="42"/>
      <c r="E41" s="42"/>
      <c r="F41" s="42"/>
      <c r="G41" s="42"/>
    </row>
  </sheetData>
  <mergeCells count="11">
    <mergeCell ref="B28:D28"/>
    <mergeCell ref="B29:D29"/>
    <mergeCell ref="B30:D30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  <pageSetup paperSize="10000" scale="8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76"/>
  <sheetViews>
    <sheetView view="pageBreakPreview" topLeftCell="A22" zoomScale="55" zoomScaleNormal="70" zoomScaleSheetLayoutView="55" workbookViewId="0">
      <selection activeCell="J47" sqref="J47"/>
    </sheetView>
  </sheetViews>
  <sheetFormatPr defaultColWidth="9" defaultRowHeight="15.75" x14ac:dyDescent="0.45"/>
  <cols>
    <col min="1" max="1" width="1.1328125" style="104" customWidth="1"/>
    <col min="2" max="2" width="13.265625" style="104" customWidth="1"/>
    <col min="3" max="3" width="3.265625" style="104" customWidth="1"/>
    <col min="4" max="4" width="24.73046875" style="104" customWidth="1"/>
    <col min="5" max="5" width="7.3984375" style="104" bestFit="1" customWidth="1"/>
    <col min="6" max="6" width="7.59765625" style="104" customWidth="1"/>
    <col min="7" max="7" width="25.265625" style="104" customWidth="1"/>
    <col min="8" max="8" width="42.59765625" style="104" customWidth="1"/>
    <col min="9" max="9" width="14.1328125" style="104" customWidth="1"/>
    <col min="10" max="11" width="19.73046875" style="104" customWidth="1"/>
    <col min="12" max="12" width="18.59765625" style="104" customWidth="1"/>
    <col min="13" max="16384" width="9" style="104"/>
  </cols>
  <sheetData>
    <row r="1" spans="1:16" ht="17.649999999999999" x14ac:dyDescent="0.5">
      <c r="B1" s="105"/>
      <c r="C1" s="105"/>
      <c r="D1" s="267" t="str">
        <f>[2]SPP!$E$1</f>
        <v>PEMERINTAH PROVINSI DAERAH KHUSUS IBUKOTA JAKARTA</v>
      </c>
      <c r="E1" s="267"/>
      <c r="F1" s="267"/>
      <c r="G1" s="267"/>
      <c r="H1" s="267"/>
      <c r="I1" s="105"/>
      <c r="J1" s="105"/>
      <c r="K1" s="105"/>
      <c r="L1" s="105"/>
    </row>
    <row r="2" spans="1:16" ht="17.649999999999999" x14ac:dyDescent="0.5">
      <c r="B2" s="105"/>
      <c r="C2" s="105"/>
      <c r="D2" s="267" t="str">
        <f>[2]SPP!$E$2</f>
        <v xml:space="preserve">DINAS PENDIDIKAN </v>
      </c>
      <c r="E2" s="267"/>
      <c r="F2" s="267"/>
      <c r="G2" s="267"/>
      <c r="H2" s="267"/>
      <c r="I2" s="105"/>
      <c r="J2" s="105"/>
      <c r="K2" s="105"/>
      <c r="L2" s="105"/>
    </row>
    <row r="3" spans="1:16" ht="17.649999999999999" x14ac:dyDescent="0.5">
      <c r="B3" s="105"/>
      <c r="C3" s="105"/>
      <c r="D3" s="268" t="str">
        <f>HPS!$A$3</f>
        <v>SEKOLAH DASAR NEGERI KEBON KOSONG 09</v>
      </c>
      <c r="E3" s="268"/>
      <c r="F3" s="268"/>
      <c r="G3" s="268"/>
      <c r="H3" s="268"/>
      <c r="I3" s="105"/>
      <c r="J3" s="105"/>
      <c r="K3" s="105"/>
      <c r="L3" s="105"/>
    </row>
    <row r="4" spans="1:16" x14ac:dyDescent="0.45">
      <c r="B4" s="105"/>
      <c r="C4" s="105"/>
      <c r="D4" s="269" t="str">
        <f>HPS!$A$4</f>
        <v>Jl. Kemayoran Gempol no.32 RT 015.05</v>
      </c>
      <c r="E4" s="269"/>
      <c r="F4" s="269"/>
      <c r="G4" s="269"/>
      <c r="H4" s="269"/>
      <c r="I4" s="105"/>
      <c r="J4" s="105"/>
      <c r="K4" s="105"/>
      <c r="L4" s="105"/>
    </row>
    <row r="5" spans="1:16" x14ac:dyDescent="0.45">
      <c r="B5" s="105"/>
      <c r="C5" s="105"/>
      <c r="D5" s="269" t="str">
        <f>HPS!$D$5</f>
        <v xml:space="preserve">       Jakarta Pusat 10630 email :sdnkk05pg@gmail.com</v>
      </c>
      <c r="E5" s="269"/>
      <c r="F5" s="269"/>
      <c r="G5" s="269"/>
      <c r="H5" s="269"/>
      <c r="I5" s="105"/>
      <c r="J5" s="105"/>
      <c r="K5" s="105"/>
      <c r="L5" s="105"/>
    </row>
    <row r="6" spans="1:16" ht="16.149999999999999" thickBot="1" x14ac:dyDescent="0.5">
      <c r="A6" s="106"/>
      <c r="B6" s="106"/>
      <c r="C6" s="106"/>
      <c r="H6" s="107"/>
      <c r="I6" s="105"/>
      <c r="J6" s="105"/>
      <c r="K6" s="105"/>
      <c r="L6" s="105"/>
    </row>
    <row r="7" spans="1:16" ht="21" customHeight="1" thickTop="1" x14ac:dyDescent="0.45">
      <c r="A7" s="108"/>
      <c r="C7" s="108"/>
      <c r="D7" s="108"/>
      <c r="E7" s="108"/>
      <c r="F7" s="108"/>
      <c r="G7" s="108"/>
      <c r="H7" s="108"/>
      <c r="K7" s="105"/>
      <c r="M7" s="105"/>
    </row>
    <row r="9" spans="1:16" x14ac:dyDescent="0.45">
      <c r="B9" s="270" t="s">
        <v>75</v>
      </c>
      <c r="C9" s="270"/>
      <c r="D9" s="270"/>
      <c r="E9" s="270"/>
      <c r="F9" s="270"/>
      <c r="G9" s="270"/>
      <c r="H9" s="270"/>
      <c r="I9" s="109"/>
      <c r="J9" s="109"/>
      <c r="K9" s="109"/>
      <c r="L9" s="109"/>
      <c r="M9" s="109"/>
    </row>
    <row r="10" spans="1:16" x14ac:dyDescent="0.45">
      <c r="B10" s="269" t="s">
        <v>112</v>
      </c>
      <c r="C10" s="269"/>
      <c r="D10" s="269"/>
      <c r="E10" s="269"/>
      <c r="F10" s="269"/>
      <c r="G10" s="269"/>
      <c r="H10" s="269"/>
    </row>
    <row r="12" spans="1:16" x14ac:dyDescent="0.45">
      <c r="B12" s="110" t="s">
        <v>234</v>
      </c>
      <c r="D12" s="110"/>
      <c r="E12" s="110"/>
      <c r="F12" s="110"/>
      <c r="G12" s="110"/>
      <c r="H12" s="110"/>
      <c r="I12" s="110"/>
    </row>
    <row r="13" spans="1:16" x14ac:dyDescent="0.45">
      <c r="B13" s="110" t="s">
        <v>113</v>
      </c>
      <c r="D13" s="110"/>
      <c r="E13" s="110"/>
      <c r="F13" s="110"/>
      <c r="G13" s="110"/>
      <c r="H13" s="110"/>
      <c r="I13" s="110"/>
    </row>
    <row r="14" spans="1:16" x14ac:dyDescent="0.45">
      <c r="B14" s="111" t="s">
        <v>31</v>
      </c>
      <c r="C14" s="112" t="s">
        <v>1</v>
      </c>
      <c r="D14" s="111" t="str">
        <f>HPS!H42</f>
        <v>Tri Wahyuni</v>
      </c>
      <c r="F14" s="113"/>
      <c r="G14" s="113"/>
      <c r="H14" s="113"/>
      <c r="I14" s="113"/>
      <c r="O14" s="112"/>
      <c r="P14" s="111"/>
    </row>
    <row r="15" spans="1:16" x14ac:dyDescent="0.45">
      <c r="B15" s="111" t="s">
        <v>32</v>
      </c>
      <c r="C15" s="112" t="s">
        <v>1</v>
      </c>
      <c r="D15" s="111" t="s">
        <v>224</v>
      </c>
      <c r="F15" s="113"/>
      <c r="G15" s="113"/>
      <c r="H15" s="113"/>
      <c r="I15" s="113"/>
      <c r="O15" s="112"/>
      <c r="P15" s="111"/>
    </row>
    <row r="16" spans="1:16" x14ac:dyDescent="0.45">
      <c r="B16" s="111" t="s">
        <v>35</v>
      </c>
      <c r="C16" s="112" t="s">
        <v>1</v>
      </c>
      <c r="D16" s="114" t="s">
        <v>231</v>
      </c>
      <c r="F16" s="114"/>
      <c r="G16" s="113"/>
      <c r="H16" s="113"/>
      <c r="I16" s="113"/>
      <c r="O16" s="112"/>
      <c r="P16" s="111"/>
    </row>
    <row r="17" spans="2:16" x14ac:dyDescent="0.45">
      <c r="B17" s="111" t="s">
        <v>36</v>
      </c>
      <c r="C17" s="112" t="s">
        <v>1</v>
      </c>
      <c r="D17" s="111" t="s">
        <v>232</v>
      </c>
      <c r="F17" s="113"/>
      <c r="G17" s="113"/>
      <c r="H17" s="113"/>
      <c r="I17" s="113"/>
      <c r="O17" s="112"/>
      <c r="P17" s="111"/>
    </row>
    <row r="18" spans="2:16" x14ac:dyDescent="0.45">
      <c r="B18" s="111" t="s">
        <v>34</v>
      </c>
      <c r="D18" s="111" t="s">
        <v>233</v>
      </c>
      <c r="F18" s="113"/>
      <c r="G18" s="115"/>
      <c r="H18" s="115"/>
      <c r="I18" s="115"/>
      <c r="N18" s="115"/>
      <c r="O18" s="115"/>
      <c r="P18" s="115"/>
    </row>
    <row r="19" spans="2:16" x14ac:dyDescent="0.45">
      <c r="B19" s="113"/>
      <c r="C19" s="113"/>
      <c r="D19" s="111"/>
      <c r="E19" s="113"/>
      <c r="F19" s="115"/>
      <c r="G19" s="115"/>
      <c r="H19" s="115"/>
      <c r="I19" s="115"/>
      <c r="J19" s="116"/>
      <c r="K19" s="116"/>
    </row>
    <row r="20" spans="2:16" x14ac:dyDescent="0.45">
      <c r="B20" s="111" t="s">
        <v>114</v>
      </c>
      <c r="C20" s="111"/>
      <c r="D20" s="113"/>
      <c r="F20" s="113"/>
      <c r="G20" s="113"/>
      <c r="H20" s="113"/>
      <c r="I20" s="113"/>
    </row>
    <row r="21" spans="2:16" x14ac:dyDescent="0.45">
      <c r="B21" s="111"/>
      <c r="C21" s="111"/>
      <c r="D21" s="113"/>
      <c r="F21" s="113"/>
      <c r="G21" s="113"/>
      <c r="H21" s="113"/>
      <c r="I21" s="113"/>
    </row>
    <row r="22" spans="2:16" x14ac:dyDescent="0.45">
      <c r="B22" s="111" t="s">
        <v>31</v>
      </c>
      <c r="C22" s="112" t="s">
        <v>1</v>
      </c>
      <c r="D22" s="111" t="s">
        <v>207</v>
      </c>
      <c r="G22" s="115"/>
    </row>
    <row r="23" spans="2:16" x14ac:dyDescent="0.45">
      <c r="B23" s="111" t="s">
        <v>32</v>
      </c>
      <c r="C23" s="112" t="s">
        <v>1</v>
      </c>
      <c r="D23" s="111" t="s">
        <v>108</v>
      </c>
      <c r="G23" s="113"/>
    </row>
    <row r="24" spans="2:16" x14ac:dyDescent="0.45">
      <c r="B24" s="111" t="s">
        <v>33</v>
      </c>
      <c r="C24" s="112" t="s">
        <v>1</v>
      </c>
      <c r="D24" s="111" t="s">
        <v>26</v>
      </c>
      <c r="G24" s="113"/>
    </row>
    <row r="25" spans="2:16" x14ac:dyDescent="0.45">
      <c r="B25" s="111" t="s">
        <v>34</v>
      </c>
      <c r="C25" s="112" t="s">
        <v>1</v>
      </c>
      <c r="D25" s="111" t="s">
        <v>81</v>
      </c>
      <c r="G25" s="113"/>
    </row>
    <row r="26" spans="2:16" x14ac:dyDescent="0.45">
      <c r="B26" s="115"/>
      <c r="C26" s="115"/>
      <c r="D26" s="115" t="s">
        <v>82</v>
      </c>
      <c r="G26" s="113"/>
      <c r="H26" s="113"/>
      <c r="I26" s="113"/>
    </row>
    <row r="27" spans="2:16" x14ac:dyDescent="0.45">
      <c r="B27" s="115"/>
      <c r="C27" s="115"/>
      <c r="D27" s="115"/>
      <c r="G27" s="113"/>
      <c r="H27" s="113"/>
      <c r="I27" s="113"/>
    </row>
    <row r="28" spans="2:16" x14ac:dyDescent="0.45">
      <c r="B28" s="111" t="s">
        <v>115</v>
      </c>
      <c r="C28" s="115"/>
      <c r="D28" s="115"/>
      <c r="G28" s="113"/>
      <c r="H28" s="113"/>
      <c r="I28" s="113"/>
    </row>
    <row r="29" spans="2:16" x14ac:dyDescent="0.45">
      <c r="B29" s="115"/>
      <c r="C29" s="115"/>
      <c r="D29" s="115"/>
      <c r="G29" s="113"/>
      <c r="H29" s="113"/>
      <c r="I29" s="113"/>
    </row>
    <row r="30" spans="2:16" ht="15.75" customHeight="1" x14ac:dyDescent="0.45">
      <c r="B30" s="271" t="s">
        <v>116</v>
      </c>
      <c r="C30" s="271"/>
      <c r="D30" s="271"/>
      <c r="E30" s="271"/>
      <c r="F30" s="271"/>
      <c r="G30" s="271"/>
      <c r="H30" s="271"/>
      <c r="I30" s="117"/>
    </row>
    <row r="31" spans="2:16" x14ac:dyDescent="0.45">
      <c r="B31" s="271"/>
      <c r="C31" s="271"/>
      <c r="D31" s="271"/>
      <c r="E31" s="271"/>
      <c r="F31" s="271"/>
      <c r="G31" s="271"/>
      <c r="H31" s="271"/>
      <c r="I31" s="117"/>
    </row>
    <row r="32" spans="2:16" x14ac:dyDescent="0.45">
      <c r="B32" s="115" t="s">
        <v>84</v>
      </c>
      <c r="C32" s="115"/>
      <c r="D32" s="115"/>
      <c r="G32" s="113"/>
      <c r="H32" s="113"/>
    </row>
    <row r="33" spans="2:12" x14ac:dyDescent="0.45">
      <c r="B33" s="118" t="s">
        <v>21</v>
      </c>
      <c r="C33" s="265" t="s">
        <v>71</v>
      </c>
      <c r="D33" s="266"/>
      <c r="E33" s="264" t="s">
        <v>72</v>
      </c>
      <c r="F33" s="264"/>
      <c r="G33" s="119" t="s">
        <v>83</v>
      </c>
      <c r="H33" s="120" t="s">
        <v>117</v>
      </c>
    </row>
    <row r="34" spans="2:12" ht="50.1" customHeight="1" x14ac:dyDescent="0.45">
      <c r="B34" s="121">
        <f>[2]HPS!B17</f>
        <v>1</v>
      </c>
      <c r="C34" s="260" t="str">
        <f>HPS!C17</f>
        <v>glass cleaner</v>
      </c>
      <c r="D34" s="261"/>
      <c r="E34" s="120">
        <f>HPS!F17</f>
        <v>15</v>
      </c>
      <c r="F34" s="122" t="str">
        <f>HPS!G17</f>
        <v>liter</v>
      </c>
      <c r="G34" s="123" t="str">
        <f>HPS!H17</f>
        <v>cair</v>
      </c>
      <c r="H34" s="124">
        <f>'SURAT PENAWARAN'!G21</f>
        <v>245000</v>
      </c>
    </row>
    <row r="35" spans="2:12" ht="31.5" x14ac:dyDescent="0.45">
      <c r="B35" s="121">
        <f>[2]HPS!B18</f>
        <v>2</v>
      </c>
      <c r="C35" s="260" t="str">
        <f>HPS!C18</f>
        <v>dust cleaner</v>
      </c>
      <c r="D35" s="261"/>
      <c r="E35" s="120">
        <f>HPS!F18</f>
        <v>3</v>
      </c>
      <c r="F35" s="122" t="str">
        <f>HPS!G18</f>
        <v>galon</v>
      </c>
      <c r="G35" s="123" t="str">
        <f>HPS!H18</f>
        <v>cairan minyak pembersih keramik</v>
      </c>
      <c r="H35" s="124">
        <f>'SURAT PENAWARAN'!G22</f>
        <v>560000</v>
      </c>
      <c r="I35" s="125"/>
    </row>
    <row r="36" spans="2:12" x14ac:dyDescent="0.45">
      <c r="B36" s="121">
        <f>[2]HPS!B19</f>
        <v>3</v>
      </c>
      <c r="C36" s="260" t="str">
        <f>HPS!C19</f>
        <v>karbol</v>
      </c>
      <c r="D36" s="261"/>
      <c r="E36" s="120">
        <f>HPS!F19</f>
        <v>5</v>
      </c>
      <c r="F36" s="122" t="str">
        <f>HPS!G19</f>
        <v>botol</v>
      </c>
      <c r="G36" s="123" t="str">
        <f>HPS!H19</f>
        <v>800 ml wangi</v>
      </c>
      <c r="H36" s="124">
        <f>'SURAT PENAWARAN'!G23</f>
        <v>120000</v>
      </c>
      <c r="I36" s="125"/>
    </row>
    <row r="37" spans="2:12" ht="31.5" x14ac:dyDescent="0.45">
      <c r="B37" s="121">
        <v>4</v>
      </c>
      <c r="C37" s="260" t="str">
        <f>HPS!C20</f>
        <v>sabun cuci piring</v>
      </c>
      <c r="D37" s="261"/>
      <c r="E37" s="120">
        <f>HPS!F20</f>
        <v>3</v>
      </c>
      <c r="F37" s="122" t="str">
        <f>HPS!G20</f>
        <v>jerigen</v>
      </c>
      <c r="G37" s="123" t="str">
        <f>HPS!H20</f>
        <v>3,7 liter</v>
      </c>
      <c r="H37" s="124">
        <f>'SURAT PENAWARAN'!G24</f>
        <v>242000</v>
      </c>
      <c r="I37" s="125"/>
    </row>
    <row r="38" spans="2:12" ht="19.25" customHeight="1" x14ac:dyDescent="0.45">
      <c r="B38" s="121">
        <v>5</v>
      </c>
      <c r="C38" s="260" t="str">
        <f>HPS!C21</f>
        <v>pembersih  porselin</v>
      </c>
      <c r="D38" s="261"/>
      <c r="E38" s="120">
        <f>HPS!F21</f>
        <v>3</v>
      </c>
      <c r="F38" s="122" t="str">
        <f>HPS!G21</f>
        <v>galon</v>
      </c>
      <c r="G38" s="123" t="str">
        <f>HPS!H21</f>
        <v>isi 4 ltr</v>
      </c>
      <c r="H38" s="124">
        <f>'SURAT PENAWARAN'!G25</f>
        <v>323000</v>
      </c>
      <c r="I38" s="125"/>
    </row>
    <row r="39" spans="2:12" ht="19.25" customHeight="1" x14ac:dyDescent="0.45">
      <c r="B39" s="121">
        <v>6</v>
      </c>
      <c r="C39" s="260" t="str">
        <f>HPS!C22</f>
        <v>sabun cuci tangan cair</v>
      </c>
      <c r="D39" s="261"/>
      <c r="E39" s="120">
        <f>HPS!F22</f>
        <v>6</v>
      </c>
      <c r="F39" s="122" t="str">
        <f>HPS!G22</f>
        <v>liter</v>
      </c>
      <c r="G39" s="123" t="str">
        <f>HPS!H22</f>
        <v>kemasan botol isi 1 ltr</v>
      </c>
      <c r="H39" s="124">
        <f>'SURAT PENAWARAN'!G26</f>
        <v>275000</v>
      </c>
      <c r="I39" s="125"/>
    </row>
    <row r="40" spans="2:12" ht="19.25" customHeight="1" x14ac:dyDescent="0.45">
      <c r="B40" s="121">
        <v>7</v>
      </c>
      <c r="C40" s="260" t="str">
        <f>HPS!C23</f>
        <v>kamper</v>
      </c>
      <c r="D40" s="261"/>
      <c r="E40" s="120">
        <f>HPS!F23</f>
        <v>5</v>
      </c>
      <c r="F40" s="122" t="str">
        <f>HPS!G23</f>
        <v>bungkus</v>
      </c>
      <c r="G40" s="123" t="str">
        <f>HPS!H23</f>
        <v>warna</v>
      </c>
      <c r="H40" s="124">
        <f>'SURAT PENAWARAN'!G27</f>
        <v>325000</v>
      </c>
      <c r="I40" s="125"/>
    </row>
    <row r="41" spans="2:12" x14ac:dyDescent="0.45">
      <c r="B41" s="121">
        <v>8</v>
      </c>
      <c r="C41" s="260" t="str">
        <f>HPS!C24</f>
        <v>pengharum kloset</v>
      </c>
      <c r="D41" s="261"/>
      <c r="E41" s="120">
        <f>HPS!F24</f>
        <v>10</v>
      </c>
      <c r="F41" s="122" t="str">
        <f>HPS!G24</f>
        <v>buah</v>
      </c>
      <c r="G41" s="123" t="str">
        <f>HPS!H24</f>
        <v>standar Sni</v>
      </c>
      <c r="H41" s="124">
        <f>'SURAT PENAWARAN'!G28</f>
        <v>235000</v>
      </c>
      <c r="I41" s="110"/>
      <c r="J41" s="110"/>
      <c r="K41" s="110"/>
    </row>
    <row r="42" spans="2:12" x14ac:dyDescent="0.45">
      <c r="B42" s="128"/>
      <c r="C42" s="129"/>
      <c r="D42" s="129"/>
      <c r="E42" s="129"/>
      <c r="F42" s="129"/>
      <c r="G42" s="129"/>
      <c r="H42" s="116"/>
      <c r="J42" s="110"/>
    </row>
    <row r="43" spans="2:12" x14ac:dyDescent="0.45">
      <c r="B43" s="104" t="s">
        <v>76</v>
      </c>
      <c r="E43" s="129"/>
      <c r="F43" s="129"/>
      <c r="G43" s="129"/>
      <c r="H43" s="116"/>
      <c r="I43" s="110"/>
      <c r="J43" s="110"/>
      <c r="K43" s="110"/>
      <c r="L43" s="110"/>
    </row>
    <row r="44" spans="2:12" x14ac:dyDescent="0.45">
      <c r="B44" s="118" t="s">
        <v>21</v>
      </c>
      <c r="C44" s="265" t="s">
        <v>71</v>
      </c>
      <c r="D44" s="266"/>
      <c r="E44" s="264" t="s">
        <v>72</v>
      </c>
      <c r="F44" s="264"/>
      <c r="G44" s="119" t="s">
        <v>83</v>
      </c>
      <c r="H44" s="120" t="s">
        <v>76</v>
      </c>
      <c r="I44" s="110"/>
      <c r="J44" s="110"/>
      <c r="K44" s="110"/>
      <c r="L44" s="110"/>
    </row>
    <row r="45" spans="2:12" ht="28.15" customHeight="1" x14ac:dyDescent="0.45">
      <c r="B45" s="118">
        <f>B34</f>
        <v>1</v>
      </c>
      <c r="C45" s="260" t="str">
        <f>C34</f>
        <v>glass cleaner</v>
      </c>
      <c r="D45" s="261"/>
      <c r="E45" s="119">
        <f>E34</f>
        <v>15</v>
      </c>
      <c r="F45" s="122" t="str">
        <f>F34</f>
        <v>liter</v>
      </c>
      <c r="G45" s="123" t="str">
        <f>G34</f>
        <v>cair</v>
      </c>
      <c r="H45" s="130">
        <f>HPS!J17</f>
        <v>240000</v>
      </c>
      <c r="I45" s="110"/>
      <c r="J45" s="110"/>
      <c r="K45" s="110"/>
      <c r="L45" s="110"/>
    </row>
    <row r="46" spans="2:12" ht="31.5" x14ac:dyDescent="0.45">
      <c r="B46" s="118">
        <f>B35</f>
        <v>2</v>
      </c>
      <c r="C46" s="260" t="str">
        <f t="shared" ref="C46:C52" si="0">C35</f>
        <v>dust cleaner</v>
      </c>
      <c r="D46" s="261"/>
      <c r="E46" s="119">
        <f t="shared" ref="E46:G52" si="1">E35</f>
        <v>3</v>
      </c>
      <c r="F46" s="122" t="str">
        <f t="shared" si="1"/>
        <v>galon</v>
      </c>
      <c r="G46" s="123" t="str">
        <f t="shared" si="1"/>
        <v>cairan minyak pembersih keramik</v>
      </c>
      <c r="H46" s="130">
        <f>HPS!J18</f>
        <v>555000</v>
      </c>
      <c r="I46" s="110"/>
      <c r="J46" s="110"/>
      <c r="K46" s="110"/>
      <c r="L46" s="110"/>
    </row>
    <row r="47" spans="2:12" x14ac:dyDescent="0.45">
      <c r="B47" s="118">
        <f>B36</f>
        <v>3</v>
      </c>
      <c r="C47" s="260" t="str">
        <f t="shared" si="0"/>
        <v>karbol</v>
      </c>
      <c r="D47" s="261"/>
      <c r="E47" s="119">
        <f t="shared" si="1"/>
        <v>5</v>
      </c>
      <c r="F47" s="122" t="str">
        <f t="shared" si="1"/>
        <v>botol</v>
      </c>
      <c r="G47" s="123" t="str">
        <f t="shared" si="1"/>
        <v>800 ml wangi</v>
      </c>
      <c r="H47" s="130">
        <f>HPS!J19</f>
        <v>115000</v>
      </c>
      <c r="I47" s="110"/>
      <c r="J47" s="110"/>
      <c r="K47" s="110"/>
      <c r="L47" s="110"/>
    </row>
    <row r="48" spans="2:12" ht="31.5" x14ac:dyDescent="0.45">
      <c r="B48" s="118">
        <v>4</v>
      </c>
      <c r="C48" s="260" t="str">
        <f t="shared" si="0"/>
        <v>sabun cuci piring</v>
      </c>
      <c r="D48" s="261"/>
      <c r="E48" s="119">
        <f t="shared" si="1"/>
        <v>3</v>
      </c>
      <c r="F48" s="122" t="str">
        <f t="shared" si="1"/>
        <v>jerigen</v>
      </c>
      <c r="G48" s="123" t="str">
        <f t="shared" si="1"/>
        <v>3,7 liter</v>
      </c>
      <c r="H48" s="130">
        <f>HPS!J20</f>
        <v>237000</v>
      </c>
      <c r="I48" s="110"/>
      <c r="J48" s="110"/>
      <c r="K48" s="110"/>
      <c r="L48" s="110"/>
    </row>
    <row r="49" spans="2:12" x14ac:dyDescent="0.45">
      <c r="B49" s="118">
        <v>5</v>
      </c>
      <c r="C49" s="260" t="str">
        <f t="shared" si="0"/>
        <v>pembersih  porselin</v>
      </c>
      <c r="D49" s="261"/>
      <c r="E49" s="119">
        <f t="shared" si="1"/>
        <v>3</v>
      </c>
      <c r="F49" s="122" t="str">
        <f t="shared" si="1"/>
        <v>galon</v>
      </c>
      <c r="G49" s="123" t="str">
        <f t="shared" si="1"/>
        <v>isi 4 ltr</v>
      </c>
      <c r="H49" s="130">
        <f>HPS!J21</f>
        <v>318000</v>
      </c>
      <c r="I49" s="110"/>
      <c r="J49" s="110"/>
      <c r="K49" s="110"/>
      <c r="L49" s="110"/>
    </row>
    <row r="50" spans="2:12" ht="31.5" x14ac:dyDescent="0.45">
      <c r="B50" s="118">
        <v>6</v>
      </c>
      <c r="C50" s="260" t="str">
        <f t="shared" si="0"/>
        <v>sabun cuci tangan cair</v>
      </c>
      <c r="D50" s="261"/>
      <c r="E50" s="119">
        <f t="shared" si="1"/>
        <v>6</v>
      </c>
      <c r="F50" s="122" t="str">
        <f t="shared" si="1"/>
        <v>liter</v>
      </c>
      <c r="G50" s="123" t="str">
        <f t="shared" si="1"/>
        <v>kemasan botol isi 1 ltr</v>
      </c>
      <c r="H50" s="130">
        <f>HPS!J22</f>
        <v>270000</v>
      </c>
      <c r="I50" s="110"/>
      <c r="J50" s="110"/>
      <c r="K50" s="110"/>
      <c r="L50" s="110"/>
    </row>
    <row r="51" spans="2:12" ht="31.5" x14ac:dyDescent="0.45">
      <c r="B51" s="118">
        <v>7</v>
      </c>
      <c r="C51" s="260" t="str">
        <f t="shared" si="0"/>
        <v>kamper</v>
      </c>
      <c r="D51" s="261"/>
      <c r="E51" s="119">
        <f t="shared" si="1"/>
        <v>5</v>
      </c>
      <c r="F51" s="122" t="str">
        <f t="shared" si="1"/>
        <v>bungkus</v>
      </c>
      <c r="G51" s="123" t="str">
        <f t="shared" si="1"/>
        <v>warna</v>
      </c>
      <c r="H51" s="130">
        <f>HPS!J23</f>
        <v>320000</v>
      </c>
      <c r="I51" s="110"/>
      <c r="J51" s="110"/>
      <c r="K51" s="110"/>
      <c r="L51" s="110"/>
    </row>
    <row r="52" spans="2:12" x14ac:dyDescent="0.45">
      <c r="B52" s="118">
        <v>8</v>
      </c>
      <c r="C52" s="260" t="str">
        <f t="shared" si="0"/>
        <v>pengharum kloset</v>
      </c>
      <c r="D52" s="261"/>
      <c r="E52" s="119">
        <f t="shared" si="1"/>
        <v>10</v>
      </c>
      <c r="F52" s="122" t="str">
        <f t="shared" si="1"/>
        <v>buah</v>
      </c>
      <c r="G52" s="123" t="str">
        <f t="shared" si="1"/>
        <v>standar Sni</v>
      </c>
      <c r="H52" s="130">
        <f>HPS!J24</f>
        <v>230000</v>
      </c>
    </row>
    <row r="53" spans="2:12" x14ac:dyDescent="0.45">
      <c r="B53" s="128"/>
      <c r="C53" s="129"/>
      <c r="D53" s="129"/>
      <c r="E53" s="129"/>
      <c r="F53" s="129"/>
      <c r="G53" s="129"/>
      <c r="H53" s="116"/>
    </row>
    <row r="54" spans="2:12" x14ac:dyDescent="0.45">
      <c r="B54" s="110" t="s">
        <v>77</v>
      </c>
      <c r="C54" s="110"/>
      <c r="D54" s="110"/>
      <c r="E54" s="110"/>
      <c r="F54" s="110"/>
      <c r="G54" s="110"/>
      <c r="H54" s="110"/>
    </row>
    <row r="55" spans="2:12" x14ac:dyDescent="0.45">
      <c r="B55" s="110"/>
      <c r="C55" s="110"/>
      <c r="D55" s="110"/>
      <c r="E55" s="110"/>
      <c r="F55" s="110"/>
      <c r="G55" s="110"/>
      <c r="H55" s="110"/>
    </row>
    <row r="56" spans="2:12" x14ac:dyDescent="0.45">
      <c r="B56" s="111" t="s">
        <v>43</v>
      </c>
      <c r="C56" s="111"/>
      <c r="D56" s="111"/>
      <c r="E56" s="111"/>
      <c r="F56" s="111"/>
      <c r="G56" s="111"/>
      <c r="H56" s="126" t="s">
        <v>42</v>
      </c>
    </row>
    <row r="57" spans="2:12" x14ac:dyDescent="0.45">
      <c r="B57" s="111" t="s">
        <v>210</v>
      </c>
      <c r="C57" s="111"/>
      <c r="D57" s="111"/>
      <c r="E57" s="111"/>
      <c r="F57" s="111"/>
      <c r="G57" s="111"/>
      <c r="H57" s="111" t="s">
        <v>26</v>
      </c>
    </row>
    <row r="58" spans="2:12" x14ac:dyDescent="0.45">
      <c r="B58" s="111"/>
      <c r="C58" s="111"/>
      <c r="D58" s="111"/>
      <c r="E58" s="111"/>
      <c r="F58" s="111"/>
      <c r="G58" s="111"/>
      <c r="H58" s="112"/>
    </row>
    <row r="59" spans="2:12" x14ac:dyDescent="0.45">
      <c r="B59" s="111"/>
      <c r="C59" s="111"/>
      <c r="D59" s="111"/>
      <c r="E59" s="111"/>
      <c r="F59" s="111"/>
      <c r="G59" s="111"/>
      <c r="H59" s="112"/>
    </row>
    <row r="60" spans="2:12" x14ac:dyDescent="0.45">
      <c r="B60" s="112"/>
      <c r="C60" s="131"/>
      <c r="D60" s="131"/>
      <c r="E60" s="111"/>
      <c r="F60" s="111"/>
      <c r="G60" s="111"/>
      <c r="H60" s="127"/>
    </row>
    <row r="61" spans="2:12" x14ac:dyDescent="0.45">
      <c r="B61" s="131" t="str">
        <f>HPS!$H$42</f>
        <v>Tri Wahyuni</v>
      </c>
      <c r="C61" s="132"/>
      <c r="D61" s="133"/>
      <c r="E61" s="111"/>
      <c r="F61" s="111"/>
      <c r="G61" s="111"/>
      <c r="H61" s="126" t="str">
        <f>D22</f>
        <v>Bambang Solifian</v>
      </c>
    </row>
    <row r="62" spans="2:12" x14ac:dyDescent="0.45">
      <c r="B62" s="111" t="str">
        <f>HPS!$H$43</f>
        <v>NIP. 196804212016102001</v>
      </c>
    </row>
    <row r="63" spans="2:12" x14ac:dyDescent="0.45">
      <c r="B63" s="110"/>
      <c r="C63" s="110"/>
      <c r="D63" s="110"/>
      <c r="E63" s="110"/>
      <c r="F63" s="110"/>
    </row>
    <row r="64" spans="2:12" x14ac:dyDescent="0.45">
      <c r="C64" s="110"/>
      <c r="D64" s="262" t="str">
        <f>[2]SPP!B42</f>
        <v>Mengetahui,</v>
      </c>
      <c r="E64" s="262"/>
      <c r="F64" s="262"/>
      <c r="G64" s="262"/>
      <c r="H64" s="110"/>
    </row>
    <row r="65" spans="2:8" x14ac:dyDescent="0.45">
      <c r="C65" s="110"/>
      <c r="D65" s="262" t="str">
        <f>[2]SPP!B43</f>
        <v>Kepala Sekolah</v>
      </c>
      <c r="E65" s="262"/>
      <c r="F65" s="262"/>
      <c r="G65" s="262"/>
      <c r="H65" s="110"/>
    </row>
    <row r="66" spans="2:8" x14ac:dyDescent="0.45">
      <c r="B66" s="110"/>
      <c r="C66" s="110"/>
      <c r="D66" s="262"/>
      <c r="E66" s="262"/>
      <c r="F66" s="262"/>
      <c r="G66" s="262"/>
      <c r="H66" s="110"/>
    </row>
    <row r="67" spans="2:8" x14ac:dyDescent="0.45">
      <c r="B67" s="110"/>
      <c r="C67" s="110"/>
      <c r="D67" s="262"/>
      <c r="E67" s="262"/>
      <c r="F67" s="262"/>
      <c r="G67" s="262"/>
      <c r="H67" s="110"/>
    </row>
    <row r="68" spans="2:8" x14ac:dyDescent="0.45">
      <c r="B68" s="110"/>
      <c r="C68" s="110"/>
      <c r="D68" s="263" t="str">
        <f>HPS!$B$42</f>
        <v>Khairunnisa</v>
      </c>
      <c r="E68" s="263"/>
      <c r="F68" s="263"/>
      <c r="G68" s="263"/>
      <c r="H68" s="110"/>
    </row>
    <row r="69" spans="2:8" x14ac:dyDescent="0.45">
      <c r="C69" s="110"/>
      <c r="D69" s="262" t="str">
        <f>HPS!$B$43</f>
        <v>NIP. 198402112011012010</v>
      </c>
      <c r="E69" s="262"/>
      <c r="F69" s="262"/>
      <c r="G69" s="262"/>
      <c r="H69" s="110"/>
    </row>
    <row r="70" spans="2:8" x14ac:dyDescent="0.45">
      <c r="C70" s="110"/>
      <c r="D70" s="110"/>
      <c r="E70" s="110"/>
      <c r="F70" s="110"/>
      <c r="G70" s="110"/>
      <c r="H70" s="110"/>
    </row>
    <row r="71" spans="2:8" x14ac:dyDescent="0.45">
      <c r="B71" s="128"/>
      <c r="C71" s="128"/>
      <c r="D71" s="128"/>
      <c r="E71" s="128"/>
      <c r="F71" s="128"/>
      <c r="G71" s="128"/>
      <c r="H71" s="128"/>
    </row>
    <row r="76" spans="2:8" x14ac:dyDescent="0.45">
      <c r="H76" s="104" t="s">
        <v>212</v>
      </c>
    </row>
  </sheetData>
  <mergeCells count="34">
    <mergeCell ref="B9:H9"/>
    <mergeCell ref="B10:H10"/>
    <mergeCell ref="B30:H31"/>
    <mergeCell ref="C33:D33"/>
    <mergeCell ref="E33:F33"/>
    <mergeCell ref="D1:H1"/>
    <mergeCell ref="D2:H2"/>
    <mergeCell ref="D3:H3"/>
    <mergeCell ref="D4:H4"/>
    <mergeCell ref="D5:H5"/>
    <mergeCell ref="E44:F44"/>
    <mergeCell ref="C38:D38"/>
    <mergeCell ref="C34:D34"/>
    <mergeCell ref="C35:D35"/>
    <mergeCell ref="C36:D36"/>
    <mergeCell ref="C44:D44"/>
    <mergeCell ref="C41:D41"/>
    <mergeCell ref="C37:D37"/>
    <mergeCell ref="C39:D39"/>
    <mergeCell ref="C40:D40"/>
    <mergeCell ref="C45:D45"/>
    <mergeCell ref="C47:D47"/>
    <mergeCell ref="C52:D52"/>
    <mergeCell ref="C46:D46"/>
    <mergeCell ref="D69:G69"/>
    <mergeCell ref="D64:G64"/>
    <mergeCell ref="D65:G65"/>
    <mergeCell ref="D66:G66"/>
    <mergeCell ref="D67:G67"/>
    <mergeCell ref="D68:G68"/>
    <mergeCell ref="C50:D50"/>
    <mergeCell ref="C48:D48"/>
    <mergeCell ref="C49:D49"/>
    <mergeCell ref="C51:D51"/>
  </mergeCells>
  <pageMargins left="0.39370078740157483" right="0.19685039370078741" top="0.39370078740157483" bottom="0.39370078740157483" header="0.11811023622047245" footer="0.11811023622047245"/>
  <pageSetup paperSize="9"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93"/>
  <sheetViews>
    <sheetView view="pageBreakPreview" topLeftCell="A20" zoomScale="60" zoomScaleNormal="70" workbookViewId="0">
      <selection activeCell="E59" sqref="E59"/>
    </sheetView>
  </sheetViews>
  <sheetFormatPr defaultColWidth="9" defaultRowHeight="15.75" x14ac:dyDescent="0.45"/>
  <cols>
    <col min="1" max="1" width="2.73046875" style="104" customWidth="1"/>
    <col min="2" max="2" width="5.86328125" style="104" customWidth="1"/>
    <col min="3" max="3" width="5.3984375" style="104" customWidth="1"/>
    <col min="4" max="4" width="9" style="104" customWidth="1"/>
    <col min="5" max="5" width="23.3984375" style="104" customWidth="1"/>
    <col min="6" max="6" width="5.3984375" style="104" customWidth="1"/>
    <col min="7" max="7" width="3.3984375" style="104" customWidth="1"/>
    <col min="8" max="8" width="10.1328125" style="104" customWidth="1"/>
    <col min="9" max="9" width="16.3984375" style="104" customWidth="1"/>
    <col min="10" max="10" width="29.73046875" style="104" customWidth="1"/>
    <col min="11" max="11" width="12.59765625" style="104" customWidth="1"/>
    <col min="12" max="12" width="11.86328125" style="104" customWidth="1"/>
    <col min="13" max="15" width="9" style="104"/>
    <col min="16" max="16" width="7" style="104" customWidth="1"/>
    <col min="17" max="17" width="9.73046875" style="104" customWidth="1"/>
    <col min="18" max="18" width="22.1328125" style="104" customWidth="1"/>
    <col min="19" max="19" width="21" style="104" customWidth="1"/>
    <col min="20" max="16384" width="9" style="104"/>
  </cols>
  <sheetData>
    <row r="1" spans="1:19" ht="17.649999999999999" x14ac:dyDescent="0.5">
      <c r="A1" s="105"/>
      <c r="B1" s="105"/>
      <c r="C1" s="105"/>
      <c r="D1" s="268" t="str">
        <f>'[2]SURAT NEGOSIASI'!D1</f>
        <v>PEMERINTAH PROVINSI DAERAH KHUSUS IBUKOTA JAKARTA</v>
      </c>
      <c r="E1" s="268"/>
      <c r="F1" s="268"/>
      <c r="G1" s="268"/>
      <c r="H1" s="268"/>
      <c r="I1" s="268"/>
      <c r="J1" s="268"/>
      <c r="K1" s="105"/>
      <c r="L1" s="105"/>
      <c r="M1" s="267" t="str">
        <f>D1</f>
        <v>PEMERINTAH PROVINSI DAERAH KHUSUS IBUKOTA JAKARTA</v>
      </c>
      <c r="N1" s="267"/>
      <c r="O1" s="267"/>
      <c r="P1" s="267"/>
      <c r="Q1" s="267"/>
      <c r="R1" s="267"/>
      <c r="S1" s="267"/>
    </row>
    <row r="2" spans="1:19" ht="17.649999999999999" x14ac:dyDescent="0.5">
      <c r="A2" s="105"/>
      <c r="B2" s="105"/>
      <c r="C2" s="105"/>
      <c r="D2" s="268" t="str">
        <f>'[2]SURAT NEGOSIASI'!D2</f>
        <v xml:space="preserve">DINAS PENDIDIKAN </v>
      </c>
      <c r="E2" s="268"/>
      <c r="F2" s="268"/>
      <c r="G2" s="268"/>
      <c r="H2" s="268"/>
      <c r="I2" s="268"/>
      <c r="J2" s="268"/>
      <c r="K2" s="105"/>
      <c r="L2" s="105"/>
      <c r="M2" s="267" t="str">
        <f>D2</f>
        <v xml:space="preserve">DINAS PENDIDIKAN </v>
      </c>
      <c r="N2" s="267"/>
      <c r="O2" s="267"/>
      <c r="P2" s="267"/>
      <c r="Q2" s="267"/>
      <c r="R2" s="267"/>
      <c r="S2" s="267"/>
    </row>
    <row r="3" spans="1:19" ht="17.649999999999999" x14ac:dyDescent="0.5">
      <c r="A3" s="105"/>
      <c r="B3" s="105"/>
      <c r="C3" s="105"/>
      <c r="D3" s="105"/>
      <c r="E3" s="268" t="str">
        <f>SPP!A3</f>
        <v>SEKOLAH DASAR NEGERI KEBON KOSONG 09</v>
      </c>
      <c r="F3" s="268"/>
      <c r="G3" s="268"/>
      <c r="H3" s="268"/>
      <c r="I3" s="268"/>
      <c r="J3" s="268"/>
      <c r="K3" s="105"/>
      <c r="L3" s="105"/>
      <c r="M3" s="268" t="str">
        <f t="shared" ref="M3:M4" si="0">E3</f>
        <v>SEKOLAH DASAR NEGERI KEBON KOSONG 09</v>
      </c>
      <c r="N3" s="268"/>
      <c r="O3" s="268"/>
      <c r="P3" s="268"/>
      <c r="Q3" s="268"/>
      <c r="R3" s="268"/>
      <c r="S3" s="268"/>
    </row>
    <row r="4" spans="1:19" x14ac:dyDescent="0.45">
      <c r="A4" s="105"/>
      <c r="B4" s="105"/>
      <c r="C4" s="105"/>
      <c r="D4" s="105"/>
      <c r="E4" s="269" t="str">
        <f>HPS!A4</f>
        <v>Jl. Kemayoran Gempol no.32 RT 015.05</v>
      </c>
      <c r="F4" s="269"/>
      <c r="G4" s="269"/>
      <c r="H4" s="269"/>
      <c r="I4" s="269"/>
      <c r="J4" s="269"/>
      <c r="K4" s="105"/>
      <c r="L4" s="105"/>
      <c r="M4" s="269" t="str">
        <f t="shared" si="0"/>
        <v>Jl. Kemayoran Gempol no.32 RT 015.05</v>
      </c>
      <c r="N4" s="269"/>
      <c r="O4" s="269"/>
      <c r="P4" s="269"/>
      <c r="Q4" s="269"/>
      <c r="R4" s="269"/>
      <c r="S4" s="269"/>
    </row>
    <row r="5" spans="1:19" ht="18" thickBot="1" x14ac:dyDescent="0.55000000000000004">
      <c r="A5" s="290"/>
      <c r="B5" s="290"/>
      <c r="C5" s="290"/>
      <c r="D5" s="290"/>
      <c r="E5" s="134"/>
      <c r="K5" s="105"/>
      <c r="L5" s="105"/>
      <c r="M5" s="269"/>
      <c r="N5" s="269"/>
      <c r="O5" s="269"/>
      <c r="P5" s="269"/>
      <c r="Q5" s="269"/>
      <c r="R5" s="269"/>
      <c r="S5" s="269"/>
    </row>
    <row r="6" spans="1:19" ht="18" thickTop="1" x14ac:dyDescent="0.5">
      <c r="A6" s="105"/>
      <c r="B6" s="105"/>
      <c r="C6" s="105"/>
      <c r="D6" s="105"/>
      <c r="E6" s="180"/>
      <c r="F6" s="135"/>
      <c r="G6" s="135"/>
      <c r="H6" s="135"/>
      <c r="I6" s="135"/>
      <c r="J6" s="135"/>
      <c r="K6" s="105"/>
      <c r="L6" s="105"/>
      <c r="M6" s="269"/>
      <c r="N6" s="269"/>
      <c r="O6" s="269"/>
      <c r="P6" s="269"/>
      <c r="Q6" s="269"/>
      <c r="R6" s="269"/>
      <c r="S6" s="269"/>
    </row>
    <row r="7" spans="1:19" ht="16.149999999999999" thickBot="1" x14ac:dyDescent="0.5">
      <c r="M7" s="106"/>
      <c r="N7" s="106"/>
      <c r="S7" s="107"/>
    </row>
    <row r="8" spans="1:19" ht="16.149999999999999" thickTop="1" x14ac:dyDescent="0.45">
      <c r="K8" s="136"/>
      <c r="L8" s="137"/>
      <c r="O8" s="108"/>
      <c r="P8" s="108"/>
      <c r="Q8" s="108"/>
      <c r="R8" s="108"/>
      <c r="S8" s="108"/>
    </row>
    <row r="9" spans="1:19" x14ac:dyDescent="0.45">
      <c r="A9" s="291" t="s">
        <v>118</v>
      </c>
      <c r="B9" s="291"/>
      <c r="C9" s="291"/>
      <c r="D9" s="291"/>
      <c r="E9" s="291"/>
      <c r="F9" s="291"/>
      <c r="G9" s="291"/>
      <c r="H9" s="291"/>
      <c r="I9" s="291"/>
      <c r="J9" s="291"/>
      <c r="K9" s="104" t="s">
        <v>119</v>
      </c>
      <c r="L9" s="104" t="s">
        <v>120</v>
      </c>
      <c r="Q9" s="125" t="s">
        <v>121</v>
      </c>
      <c r="R9" s="138">
        <f>J61</f>
        <v>46198</v>
      </c>
    </row>
    <row r="10" spans="1:19" x14ac:dyDescent="0.45">
      <c r="A10" s="292" t="s">
        <v>122</v>
      </c>
      <c r="B10" s="292"/>
      <c r="C10" s="292"/>
      <c r="D10" s="292"/>
      <c r="E10" s="292"/>
      <c r="F10" s="292"/>
      <c r="G10" s="293" t="s">
        <v>123</v>
      </c>
      <c r="H10" s="293"/>
      <c r="I10" s="293"/>
      <c r="J10" s="293"/>
      <c r="K10" s="104" t="s">
        <v>124</v>
      </c>
      <c r="L10" s="105" t="s">
        <v>47</v>
      </c>
      <c r="Q10" s="104" t="s">
        <v>125</v>
      </c>
    </row>
    <row r="11" spans="1:19" x14ac:dyDescent="0.45">
      <c r="K11" s="104" t="s">
        <v>126</v>
      </c>
      <c r="L11" s="104" t="s">
        <v>49</v>
      </c>
      <c r="Q11" s="104" t="s">
        <v>127</v>
      </c>
    </row>
    <row r="12" spans="1:19" x14ac:dyDescent="0.45">
      <c r="B12" s="288" t="s">
        <v>128</v>
      </c>
      <c r="C12" s="288"/>
      <c r="D12" s="288"/>
      <c r="E12" s="104" t="str">
        <f>HPS!E10</f>
        <v>Pemeliharaan Sarana dan Prasarana Sekolah</v>
      </c>
      <c r="Q12" s="104" t="s">
        <v>129</v>
      </c>
    </row>
    <row r="13" spans="1:19" x14ac:dyDescent="0.45">
      <c r="B13" s="288" t="s">
        <v>130</v>
      </c>
      <c r="C13" s="288"/>
      <c r="D13" s="288"/>
      <c r="E13" s="104" t="str">
        <f>HPS!E12</f>
        <v>Bahan-bahan lainnya</v>
      </c>
      <c r="R13" s="104" t="s">
        <v>131</v>
      </c>
    </row>
    <row r="14" spans="1:19" x14ac:dyDescent="0.45">
      <c r="B14" s="288" t="s">
        <v>132</v>
      </c>
      <c r="C14" s="288"/>
      <c r="D14" s="288"/>
      <c r="E14" s="104">
        <f>HPS!E13</f>
        <v>2026</v>
      </c>
    </row>
    <row r="15" spans="1:19" x14ac:dyDescent="0.45">
      <c r="K15" s="104" t="s">
        <v>133</v>
      </c>
      <c r="P15" s="288" t="str">
        <f>G10</f>
        <v xml:space="preserve">         /PK.03.00</v>
      </c>
      <c r="Q15" s="288"/>
      <c r="R15" s="116" t="s">
        <v>134</v>
      </c>
      <c r="S15" s="138">
        <f>J39</f>
        <v>46198</v>
      </c>
    </row>
    <row r="16" spans="1:19" x14ac:dyDescent="0.45">
      <c r="B16" s="104" t="s">
        <v>135</v>
      </c>
      <c r="K16" s="104" t="s">
        <v>136</v>
      </c>
      <c r="Q16" s="104" t="str">
        <f>E13</f>
        <v>Bahan-bahan lainnya</v>
      </c>
    </row>
    <row r="17" spans="1:19" x14ac:dyDescent="0.45">
      <c r="C17" s="288" t="s">
        <v>137</v>
      </c>
      <c r="D17" s="288"/>
      <c r="E17" s="104" t="str">
        <f>HPS!$B$42</f>
        <v>Khairunnisa</v>
      </c>
      <c r="K17" s="104" t="s">
        <v>138</v>
      </c>
    </row>
    <row r="18" spans="1:19" x14ac:dyDescent="0.45">
      <c r="C18" s="288" t="s">
        <v>139</v>
      </c>
      <c r="D18" s="288"/>
      <c r="E18" s="104" t="s">
        <v>219</v>
      </c>
    </row>
    <row r="19" spans="1:19" x14ac:dyDescent="0.45">
      <c r="C19" s="288" t="s">
        <v>140</v>
      </c>
      <c r="D19" s="288"/>
      <c r="E19" s="104" t="str">
        <f>'SURAT NEGOSIASI (2)'!$D$18</f>
        <v>Jl. Kemayoran Gempol no.32</v>
      </c>
      <c r="K19" s="139" t="s">
        <v>21</v>
      </c>
      <c r="L19" s="264" t="s">
        <v>141</v>
      </c>
      <c r="M19" s="264"/>
      <c r="N19" s="264"/>
      <c r="O19" s="287" t="s">
        <v>68</v>
      </c>
      <c r="P19" s="287"/>
      <c r="Q19" s="119" t="s">
        <v>142</v>
      </c>
      <c r="R19" s="119" t="s">
        <v>143</v>
      </c>
      <c r="S19" s="139" t="s">
        <v>78</v>
      </c>
    </row>
    <row r="20" spans="1:19" x14ac:dyDescent="0.45">
      <c r="B20" s="104" t="s">
        <v>144</v>
      </c>
      <c r="K20" s="140">
        <f>[2]HPS!B17</f>
        <v>1</v>
      </c>
      <c r="L20" s="272" t="str">
        <f>[2]HPS!C17</f>
        <v>Kamper</v>
      </c>
      <c r="M20" s="272"/>
      <c r="N20" s="272"/>
      <c r="O20" s="273">
        <f>[2]HPS!F17</f>
        <v>3</v>
      </c>
      <c r="P20" s="273"/>
      <c r="Q20" s="120" t="str">
        <f>[2]HPS!G17</f>
        <v xml:space="preserve">bks </v>
      </c>
      <c r="R20" s="141">
        <f>[2]HPS!I17</f>
        <v>33000</v>
      </c>
      <c r="S20" s="141">
        <f>O20*R20</f>
        <v>99000</v>
      </c>
    </row>
    <row r="21" spans="1:19" x14ac:dyDescent="0.45">
      <c r="K21" s="275" t="s">
        <v>145</v>
      </c>
      <c r="L21" s="275"/>
      <c r="M21" s="275"/>
      <c r="N21" s="275"/>
      <c r="O21" s="275"/>
      <c r="P21" s="275"/>
      <c r="Q21" s="275"/>
      <c r="R21" s="275"/>
      <c r="S21" s="142">
        <f>SUM(S20:S20)</f>
        <v>99000</v>
      </c>
    </row>
    <row r="22" spans="1:19" x14ac:dyDescent="0.45">
      <c r="C22" s="288" t="s">
        <v>137</v>
      </c>
      <c r="D22" s="288"/>
      <c r="E22" s="104" t="s">
        <v>207</v>
      </c>
      <c r="K22" s="276" t="s">
        <v>107</v>
      </c>
      <c r="L22" s="277"/>
      <c r="M22" s="277"/>
      <c r="N22" s="277"/>
      <c r="O22" s="277"/>
      <c r="P22" s="277"/>
      <c r="Q22" s="277"/>
      <c r="R22" s="278"/>
      <c r="S22" s="142">
        <f>S21*0.11</f>
        <v>10890</v>
      </c>
    </row>
    <row r="23" spans="1:19" x14ac:dyDescent="0.45">
      <c r="C23" s="288" t="s">
        <v>139</v>
      </c>
      <c r="D23" s="288"/>
      <c r="E23" s="104" t="str">
        <f>'[3]SURAT NEGOSIASI'!C23</f>
        <v>Direktur Utama</v>
      </c>
      <c r="K23" s="276" t="s">
        <v>146</v>
      </c>
      <c r="L23" s="277"/>
      <c r="M23" s="277"/>
      <c r="N23" s="277"/>
      <c r="O23" s="277"/>
      <c r="P23" s="277"/>
      <c r="Q23" s="277"/>
      <c r="R23" s="278"/>
      <c r="S23" s="142">
        <f>S21*0.015</f>
        <v>1485</v>
      </c>
    </row>
    <row r="24" spans="1:19" x14ac:dyDescent="0.45">
      <c r="C24" s="288" t="s">
        <v>140</v>
      </c>
      <c r="D24" s="288"/>
      <c r="E24" s="289" t="str">
        <f>'[2]SURAT NEGOSIASI'!D26</f>
        <v>Jl. Yos Sudarso Kav. 89, Boulevard Mitra Sunter Blok C2, Sunter Jaya, Tanjung Priok</v>
      </c>
      <c r="F24" s="289"/>
      <c r="G24" s="289"/>
      <c r="H24" s="289"/>
      <c r="I24" s="289"/>
      <c r="J24" s="289"/>
      <c r="K24" s="275" t="s">
        <v>147</v>
      </c>
      <c r="L24" s="275"/>
      <c r="M24" s="275"/>
      <c r="N24" s="275"/>
      <c r="O24" s="275"/>
      <c r="P24" s="275"/>
      <c r="Q24" s="275"/>
      <c r="R24" s="275"/>
      <c r="S24" s="142">
        <v>0</v>
      </c>
    </row>
    <row r="25" spans="1:19" x14ac:dyDescent="0.45">
      <c r="E25" s="289"/>
      <c r="F25" s="289"/>
      <c r="G25" s="289"/>
      <c r="H25" s="289"/>
      <c r="I25" s="289"/>
      <c r="J25" s="289"/>
      <c r="K25" s="275" t="s">
        <v>148</v>
      </c>
      <c r="L25" s="275"/>
      <c r="M25" s="275"/>
      <c r="N25" s="275"/>
      <c r="O25" s="275"/>
      <c r="P25" s="275"/>
      <c r="Q25" s="275"/>
      <c r="R25" s="275"/>
      <c r="S25" s="142">
        <f>SUM(S21:S24)</f>
        <v>111375</v>
      </c>
    </row>
    <row r="26" spans="1:19" x14ac:dyDescent="0.45">
      <c r="B26" s="104" t="s">
        <v>149</v>
      </c>
    </row>
    <row r="27" spans="1:19" x14ac:dyDescent="0.45">
      <c r="K27" s="104" t="s">
        <v>150</v>
      </c>
    </row>
    <row r="28" spans="1:19" x14ac:dyDescent="0.45">
      <c r="B28" s="104" t="s">
        <v>151</v>
      </c>
      <c r="H28" s="104" t="str">
        <f>E12</f>
        <v>Pemeliharaan Sarana dan Prasarana Sekolah</v>
      </c>
    </row>
    <row r="29" spans="1:19" x14ac:dyDescent="0.45">
      <c r="B29" s="104" t="s">
        <v>152</v>
      </c>
      <c r="E29" s="104" t="str">
        <f>E13</f>
        <v>Bahan-bahan lainnya</v>
      </c>
      <c r="F29" s="104" t="s">
        <v>153</v>
      </c>
      <c r="R29" s="104" t="str">
        <f>I41</f>
        <v>Kepala Sekolah</v>
      </c>
    </row>
    <row r="30" spans="1:19" x14ac:dyDescent="0.45">
      <c r="B30" s="104" t="s">
        <v>154</v>
      </c>
      <c r="R30" s="104" t="str">
        <f t="shared" ref="R30:R36" si="1">I42</f>
        <v>SDN Kebon Kosong 13,</v>
      </c>
    </row>
    <row r="31" spans="1:19" x14ac:dyDescent="0.45">
      <c r="A31" s="143" t="s">
        <v>155</v>
      </c>
      <c r="B31" s="144" t="s">
        <v>156</v>
      </c>
      <c r="C31" s="144"/>
      <c r="D31" s="144"/>
      <c r="E31" s="144"/>
      <c r="F31" s="144"/>
      <c r="H31" s="144"/>
    </row>
    <row r="32" spans="1:19" x14ac:dyDescent="0.45">
      <c r="A32" s="145" t="s">
        <v>157</v>
      </c>
      <c r="B32" s="110" t="s">
        <v>158</v>
      </c>
      <c r="C32" s="110"/>
      <c r="D32" s="110"/>
      <c r="E32" s="110"/>
      <c r="F32" s="110"/>
      <c r="J32" s="110"/>
    </row>
    <row r="33" spans="1:18" x14ac:dyDescent="0.45">
      <c r="A33" s="145" t="s">
        <v>159</v>
      </c>
      <c r="B33" s="146" t="s">
        <v>160</v>
      </c>
      <c r="C33" s="110"/>
      <c r="D33" s="110"/>
      <c r="E33" s="110"/>
      <c r="F33" s="110"/>
      <c r="I33" s="107"/>
    </row>
    <row r="34" spans="1:18" x14ac:dyDescent="0.45">
      <c r="A34" s="145" t="s">
        <v>161</v>
      </c>
      <c r="B34" s="110" t="s">
        <v>162</v>
      </c>
      <c r="C34" s="110"/>
      <c r="D34" s="110"/>
      <c r="E34" s="110"/>
      <c r="F34" s="110"/>
      <c r="H34" s="110"/>
      <c r="J34" s="110"/>
    </row>
    <row r="35" spans="1:18" x14ac:dyDescent="0.45">
      <c r="B35" s="110" t="s">
        <v>163</v>
      </c>
      <c r="C35" s="110"/>
      <c r="D35" s="110"/>
      <c r="E35" s="110"/>
      <c r="F35" s="110"/>
      <c r="G35" s="110"/>
      <c r="H35" s="110"/>
      <c r="I35" s="110"/>
    </row>
    <row r="36" spans="1:18" x14ac:dyDescent="0.45">
      <c r="B36" s="110" t="s">
        <v>164</v>
      </c>
      <c r="C36" s="110"/>
      <c r="D36" s="110"/>
      <c r="E36" s="110"/>
      <c r="F36" s="110"/>
      <c r="G36" s="110"/>
      <c r="H36" s="110"/>
      <c r="I36" s="110"/>
      <c r="R36" s="147" t="str">
        <f t="shared" si="1"/>
        <v>Khairunnisa</v>
      </c>
    </row>
    <row r="37" spans="1:18" x14ac:dyDescent="0.45">
      <c r="B37" s="110" t="s">
        <v>165</v>
      </c>
      <c r="C37" s="110"/>
      <c r="D37" s="110"/>
      <c r="E37" s="110"/>
      <c r="F37" s="110"/>
      <c r="G37" s="110"/>
      <c r="H37" s="110"/>
      <c r="I37" s="110"/>
      <c r="R37" s="104" t="str">
        <f>I49</f>
        <v>NIP. 198402112011012010</v>
      </c>
    </row>
    <row r="38" spans="1:18" x14ac:dyDescent="0.45">
      <c r="B38" s="110"/>
      <c r="C38" s="110"/>
      <c r="D38" s="110"/>
      <c r="E38" s="110"/>
      <c r="F38" s="110"/>
      <c r="G38" s="110"/>
      <c r="H38" s="110"/>
      <c r="I38" s="110"/>
    </row>
    <row r="39" spans="1:18" x14ac:dyDescent="0.45">
      <c r="B39" s="110"/>
      <c r="C39" s="110"/>
      <c r="D39" s="110"/>
      <c r="E39" s="110"/>
      <c r="F39" s="110"/>
      <c r="G39" s="110"/>
      <c r="H39" s="110"/>
      <c r="I39" s="146" t="s">
        <v>121</v>
      </c>
      <c r="J39" s="148">
        <v>46198</v>
      </c>
    </row>
    <row r="40" spans="1:18" x14ac:dyDescent="0.45">
      <c r="B40" s="110" t="s">
        <v>166</v>
      </c>
      <c r="C40" s="110"/>
      <c r="D40" s="110"/>
      <c r="E40" s="110"/>
      <c r="F40" s="110"/>
      <c r="G40" s="110"/>
      <c r="H40" s="110"/>
      <c r="I40" s="110" t="s">
        <v>167</v>
      </c>
    </row>
    <row r="41" spans="1:18" x14ac:dyDescent="0.45">
      <c r="B41" s="146" t="s">
        <v>168</v>
      </c>
      <c r="C41" s="110"/>
      <c r="D41" s="110"/>
      <c r="E41" s="110"/>
      <c r="F41" s="110"/>
      <c r="G41" s="110"/>
      <c r="H41" s="128"/>
      <c r="I41" s="146" t="s">
        <v>169</v>
      </c>
      <c r="J41" s="144"/>
    </row>
    <row r="42" spans="1:18" x14ac:dyDescent="0.45">
      <c r="B42" s="146" t="s">
        <v>170</v>
      </c>
      <c r="C42" s="144"/>
      <c r="D42" s="144"/>
      <c r="E42" s="144"/>
      <c r="F42" s="144"/>
      <c r="G42" s="144"/>
      <c r="H42" s="128"/>
      <c r="I42" s="149" t="s">
        <v>176</v>
      </c>
      <c r="J42" s="144"/>
    </row>
    <row r="43" spans="1:18" x14ac:dyDescent="0.45">
      <c r="B43" s="128"/>
      <c r="C43" s="144"/>
      <c r="D43" s="144"/>
      <c r="E43" s="144"/>
      <c r="F43" s="144"/>
      <c r="G43" s="144"/>
      <c r="H43" s="128"/>
      <c r="I43" s="129"/>
      <c r="J43" s="144"/>
    </row>
    <row r="44" spans="1:18" x14ac:dyDescent="0.45">
      <c r="B44" s="128"/>
      <c r="C44" s="144"/>
      <c r="D44" s="144"/>
      <c r="E44" s="144"/>
      <c r="F44" s="144"/>
      <c r="G44" s="144"/>
      <c r="H44" s="128"/>
      <c r="I44" s="129"/>
      <c r="J44" s="144"/>
    </row>
    <row r="45" spans="1:18" x14ac:dyDescent="0.45">
      <c r="B45" s="128"/>
      <c r="C45" s="144"/>
      <c r="D45" s="144"/>
      <c r="E45" s="144"/>
      <c r="F45" s="144"/>
      <c r="G45" s="144"/>
      <c r="H45" s="128"/>
      <c r="I45" s="129"/>
      <c r="J45" s="144"/>
      <c r="K45" s="144"/>
      <c r="L45" s="144"/>
    </row>
    <row r="46" spans="1:18" x14ac:dyDescent="0.45">
      <c r="B46" s="128"/>
      <c r="C46" s="144"/>
      <c r="D46" s="144"/>
      <c r="E46" s="144"/>
      <c r="F46" s="144"/>
      <c r="G46" s="144"/>
      <c r="H46" s="128"/>
      <c r="I46" s="129"/>
      <c r="J46" s="144"/>
      <c r="K46" s="144"/>
      <c r="L46" s="150"/>
    </row>
    <row r="47" spans="1:18" x14ac:dyDescent="0.45">
      <c r="B47" s="128"/>
      <c r="C47" s="274"/>
      <c r="D47" s="274"/>
      <c r="E47" s="274"/>
      <c r="F47" s="274"/>
      <c r="G47" s="274"/>
      <c r="H47" s="128"/>
      <c r="I47" s="129"/>
      <c r="J47" s="144"/>
      <c r="K47" s="144"/>
      <c r="L47" s="150"/>
    </row>
    <row r="48" spans="1:18" x14ac:dyDescent="0.45">
      <c r="B48" s="151" t="s">
        <v>207</v>
      </c>
      <c r="C48" s="144"/>
      <c r="D48" s="144"/>
      <c r="E48" s="144"/>
      <c r="F48" s="144"/>
      <c r="G48" s="144"/>
      <c r="H48" s="146"/>
      <c r="I48" s="152" t="str">
        <f>HPS!B42</f>
        <v>Khairunnisa</v>
      </c>
      <c r="J48" s="153"/>
      <c r="K48" s="144"/>
      <c r="L48" s="150"/>
    </row>
    <row r="49" spans="2:12" x14ac:dyDescent="0.45">
      <c r="B49" s="146" t="str">
        <f>'[3]SURAT NEGOSIASI'!C23</f>
        <v>Direktur Utama</v>
      </c>
      <c r="C49" s="144"/>
      <c r="D49" s="144"/>
      <c r="E49" s="144"/>
      <c r="F49" s="144"/>
      <c r="G49" s="144"/>
      <c r="H49" s="146"/>
      <c r="I49" s="149" t="str">
        <f>HPS!B43</f>
        <v>NIP. 198402112011012010</v>
      </c>
      <c r="J49" s="153"/>
      <c r="K49" s="144"/>
      <c r="L49" s="150"/>
    </row>
    <row r="50" spans="2:12" x14ac:dyDescent="0.45">
      <c r="B50" s="146"/>
      <c r="C50" s="274"/>
      <c r="D50" s="274"/>
      <c r="E50" s="274"/>
      <c r="F50" s="274"/>
      <c r="G50" s="274"/>
      <c r="H50" s="146"/>
      <c r="I50" s="149"/>
      <c r="J50" s="154"/>
      <c r="K50" s="144"/>
      <c r="L50" s="150"/>
    </row>
    <row r="51" spans="2:12" x14ac:dyDescent="0.45">
      <c r="B51" s="146"/>
      <c r="C51" s="153"/>
      <c r="D51" s="153"/>
      <c r="E51" s="153"/>
      <c r="F51" s="153"/>
      <c r="G51" s="153"/>
      <c r="H51" s="146"/>
      <c r="I51" s="149"/>
      <c r="J51" s="154"/>
      <c r="K51" s="144"/>
      <c r="L51" s="150"/>
    </row>
    <row r="52" spans="2:12" x14ac:dyDescent="0.45">
      <c r="B52" s="146"/>
      <c r="C52" s="153"/>
      <c r="D52" s="153"/>
      <c r="E52" s="153"/>
      <c r="F52" s="153"/>
      <c r="G52" s="153"/>
      <c r="H52" s="146"/>
      <c r="I52" s="149"/>
      <c r="J52" s="154"/>
      <c r="K52" s="153"/>
      <c r="L52" s="154"/>
    </row>
    <row r="53" spans="2:12" x14ac:dyDescent="0.45">
      <c r="B53" s="146"/>
      <c r="C53" s="153"/>
      <c r="D53" s="153"/>
      <c r="E53" s="153"/>
      <c r="F53" s="153"/>
      <c r="G53" s="153"/>
      <c r="H53" s="146"/>
      <c r="I53" s="149"/>
      <c r="J53" s="154"/>
      <c r="K53" s="153"/>
      <c r="L53" s="154"/>
    </row>
    <row r="54" spans="2:12" x14ac:dyDescent="0.45">
      <c r="B54" s="146"/>
      <c r="C54" s="153"/>
      <c r="D54" s="153"/>
      <c r="E54" s="153"/>
      <c r="F54" s="153"/>
      <c r="G54" s="153"/>
      <c r="H54" s="146"/>
      <c r="I54" s="149"/>
      <c r="J54" s="154"/>
      <c r="K54" s="153"/>
      <c r="L54" s="154"/>
    </row>
    <row r="55" spans="2:12" x14ac:dyDescent="0.45">
      <c r="B55" s="146"/>
      <c r="C55" s="149"/>
      <c r="D55" s="149"/>
      <c r="E55" s="149"/>
      <c r="F55" s="146"/>
      <c r="G55" s="146"/>
      <c r="H55" s="125"/>
      <c r="I55" s="125"/>
      <c r="J55" s="125"/>
      <c r="K55" s="153"/>
      <c r="L55" s="154"/>
    </row>
    <row r="56" spans="2:12" x14ac:dyDescent="0.45">
      <c r="B56" s="146"/>
      <c r="C56" s="146"/>
      <c r="D56" s="146"/>
      <c r="E56" s="146"/>
      <c r="F56" s="146"/>
      <c r="G56" s="146"/>
      <c r="H56" s="146"/>
      <c r="I56" s="146"/>
      <c r="J56" s="146"/>
      <c r="K56" s="153"/>
      <c r="L56" s="154"/>
    </row>
    <row r="57" spans="2:12" x14ac:dyDescent="0.45">
      <c r="B57" s="146"/>
      <c r="C57" s="129"/>
      <c r="D57" s="129"/>
      <c r="E57" s="129"/>
      <c r="F57" s="110"/>
      <c r="G57" s="110"/>
      <c r="K57" s="153"/>
      <c r="L57" s="154"/>
    </row>
    <row r="58" spans="2:12" x14ac:dyDescent="0.45">
      <c r="B58" s="110"/>
      <c r="C58" s="110"/>
      <c r="D58" s="110"/>
      <c r="E58" s="110"/>
      <c r="F58" s="110"/>
      <c r="H58" s="155"/>
      <c r="I58" s="110"/>
      <c r="J58" s="155"/>
      <c r="K58" s="154"/>
      <c r="L58" s="154"/>
    </row>
    <row r="59" spans="2:12" x14ac:dyDescent="0.45">
      <c r="B59" s="110"/>
      <c r="D59" s="110"/>
      <c r="E59" s="110"/>
      <c r="F59" s="110"/>
      <c r="I59" s="104" t="s">
        <v>171</v>
      </c>
      <c r="J59" s="146" t="s">
        <v>172</v>
      </c>
      <c r="K59" s="125"/>
      <c r="L59" s="125"/>
    </row>
    <row r="60" spans="2:12" x14ac:dyDescent="0.45">
      <c r="B60" s="110"/>
      <c r="D60" s="110"/>
      <c r="E60" s="110"/>
      <c r="F60" s="110"/>
      <c r="I60" s="104" t="s">
        <v>173</v>
      </c>
      <c r="J60" s="146" t="str">
        <f>G10</f>
        <v xml:space="preserve">         /PK.03.00</v>
      </c>
      <c r="K60" s="146"/>
      <c r="L60" s="146"/>
    </row>
    <row r="61" spans="2:12" x14ac:dyDescent="0.45">
      <c r="B61" s="110"/>
      <c r="D61" s="110"/>
      <c r="E61" s="110"/>
      <c r="F61" s="110"/>
      <c r="I61" s="104" t="s">
        <v>174</v>
      </c>
      <c r="J61" s="148">
        <f>J39</f>
        <v>46198</v>
      </c>
    </row>
    <row r="62" spans="2:12" x14ac:dyDescent="0.45">
      <c r="B62" s="110"/>
      <c r="D62" s="110"/>
      <c r="E62" s="110"/>
      <c r="F62" s="110"/>
      <c r="J62" s="110"/>
    </row>
    <row r="63" spans="2:12" x14ac:dyDescent="0.45">
      <c r="B63" s="288" t="s">
        <v>128</v>
      </c>
      <c r="C63" s="288"/>
      <c r="D63" s="288"/>
      <c r="E63" s="146" t="str">
        <f>E12</f>
        <v>Pemeliharaan Sarana dan Prasarana Sekolah</v>
      </c>
      <c r="F63" s="110"/>
      <c r="J63" s="110"/>
    </row>
    <row r="64" spans="2:12" x14ac:dyDescent="0.45">
      <c r="B64" s="288" t="s">
        <v>130</v>
      </c>
      <c r="C64" s="288"/>
      <c r="D64" s="288"/>
      <c r="E64" s="146" t="str">
        <f>E13</f>
        <v>Bahan-bahan lainnya</v>
      </c>
      <c r="F64" s="110"/>
      <c r="J64" s="110"/>
    </row>
    <row r="65" spans="2:10" x14ac:dyDescent="0.45">
      <c r="B65" s="288" t="s">
        <v>132</v>
      </c>
      <c r="C65" s="288"/>
      <c r="D65" s="288"/>
      <c r="E65" s="146">
        <f>E14</f>
        <v>2026</v>
      </c>
      <c r="F65" s="110"/>
      <c r="J65" s="110"/>
    </row>
    <row r="66" spans="2:10" x14ac:dyDescent="0.45">
      <c r="B66" s="110"/>
      <c r="D66" s="110"/>
      <c r="E66" s="110"/>
      <c r="F66" s="110"/>
      <c r="J66" s="110"/>
    </row>
    <row r="67" spans="2:10" x14ac:dyDescent="0.45">
      <c r="B67" s="139" t="s">
        <v>21</v>
      </c>
      <c r="C67" s="264" t="s">
        <v>141</v>
      </c>
      <c r="D67" s="264"/>
      <c r="E67" s="264"/>
      <c r="F67" s="287" t="s">
        <v>68</v>
      </c>
      <c r="G67" s="287"/>
      <c r="H67" s="119" t="s">
        <v>142</v>
      </c>
      <c r="I67" s="119" t="s">
        <v>143</v>
      </c>
      <c r="J67" s="139" t="s">
        <v>78</v>
      </c>
    </row>
    <row r="68" spans="2:10" x14ac:dyDescent="0.45">
      <c r="B68" s="140">
        <f>'[2]SURAT NEGOSIASI'!B52</f>
        <v>1</v>
      </c>
      <c r="C68" s="272" t="str">
        <f>HPS!C17</f>
        <v>glass cleaner</v>
      </c>
      <c r="D68" s="272"/>
      <c r="E68" s="272"/>
      <c r="F68" s="273">
        <f>HPS!F17</f>
        <v>15</v>
      </c>
      <c r="G68" s="273"/>
      <c r="H68" s="120" t="str">
        <f>HPS!G17</f>
        <v>liter</v>
      </c>
      <c r="I68" s="141">
        <f>HPS!I17</f>
        <v>16000</v>
      </c>
      <c r="J68" s="141">
        <f>F68*I68</f>
        <v>240000</v>
      </c>
    </row>
    <row r="69" spans="2:10" x14ac:dyDescent="0.45">
      <c r="B69" s="140">
        <f>'[2]SURAT NEGOSIASI'!B53</f>
        <v>2</v>
      </c>
      <c r="C69" s="272" t="str">
        <f>HPS!C18</f>
        <v>dust cleaner</v>
      </c>
      <c r="D69" s="272"/>
      <c r="E69" s="272"/>
      <c r="F69" s="273">
        <f>HPS!F18</f>
        <v>3</v>
      </c>
      <c r="G69" s="273"/>
      <c r="H69" s="120" t="str">
        <f>HPS!G18</f>
        <v>galon</v>
      </c>
      <c r="I69" s="141">
        <f>HPS!I18</f>
        <v>185000</v>
      </c>
      <c r="J69" s="141">
        <f>F69*I69</f>
        <v>555000</v>
      </c>
    </row>
    <row r="70" spans="2:10" x14ac:dyDescent="0.45">
      <c r="B70" s="140">
        <f>'[2]SURAT NEGOSIASI'!B54</f>
        <v>3</v>
      </c>
      <c r="C70" s="272"/>
      <c r="D70" s="272"/>
      <c r="E70" s="272"/>
      <c r="F70" s="273"/>
      <c r="G70" s="273"/>
      <c r="H70" s="120"/>
      <c r="I70" s="141"/>
      <c r="J70" s="141"/>
    </row>
    <row r="71" spans="2:10" x14ac:dyDescent="0.45">
      <c r="B71" s="140">
        <f>'[2]SURAT NEGOSIASI'!B55</f>
        <v>4</v>
      </c>
      <c r="C71" s="272"/>
      <c r="D71" s="272"/>
      <c r="E71" s="272"/>
      <c r="F71" s="273"/>
      <c r="G71" s="273"/>
      <c r="H71" s="120"/>
      <c r="I71" s="141"/>
      <c r="J71" s="141"/>
    </row>
    <row r="72" spans="2:10" x14ac:dyDescent="0.45">
      <c r="B72" s="140">
        <f>'[2]SURAT NEGOSIASI'!B56</f>
        <v>5</v>
      </c>
      <c r="C72" s="272"/>
      <c r="D72" s="272"/>
      <c r="E72" s="272"/>
      <c r="F72" s="273"/>
      <c r="G72" s="273"/>
      <c r="H72" s="120"/>
      <c r="I72" s="141"/>
      <c r="J72" s="141"/>
    </row>
    <row r="73" spans="2:10" x14ac:dyDescent="0.45">
      <c r="B73" s="275"/>
      <c r="C73" s="275"/>
      <c r="D73" s="275"/>
      <c r="E73" s="275"/>
      <c r="F73" s="275"/>
      <c r="G73" s="275"/>
      <c r="H73" s="275"/>
      <c r="I73" s="275"/>
      <c r="J73" s="142"/>
    </row>
    <row r="74" spans="2:10" x14ac:dyDescent="0.45">
      <c r="B74" s="276" t="s">
        <v>107</v>
      </c>
      <c r="C74" s="277"/>
      <c r="D74" s="277"/>
      <c r="E74" s="277"/>
      <c r="F74" s="277"/>
      <c r="G74" s="277"/>
      <c r="H74" s="277"/>
      <c r="I74" s="278"/>
      <c r="J74" s="142">
        <f>HPS!J27</f>
        <v>251350</v>
      </c>
    </row>
    <row r="75" spans="2:10" x14ac:dyDescent="0.45">
      <c r="B75" s="276" t="s">
        <v>146</v>
      </c>
      <c r="C75" s="277"/>
      <c r="D75" s="277"/>
      <c r="E75" s="277"/>
      <c r="F75" s="277"/>
      <c r="G75" s="277"/>
      <c r="H75" s="277"/>
      <c r="I75" s="278"/>
      <c r="J75" s="142">
        <f>HPS!J26</f>
        <v>34275</v>
      </c>
    </row>
    <row r="76" spans="2:10" x14ac:dyDescent="0.45">
      <c r="B76" s="275" t="s">
        <v>147</v>
      </c>
      <c r="C76" s="275"/>
      <c r="D76" s="275"/>
      <c r="E76" s="275"/>
      <c r="F76" s="275"/>
      <c r="G76" s="275"/>
      <c r="H76" s="275"/>
      <c r="I76" s="275"/>
      <c r="J76" s="142">
        <v>0</v>
      </c>
    </row>
    <row r="77" spans="2:10" x14ac:dyDescent="0.45">
      <c r="B77" s="275" t="s">
        <v>65</v>
      </c>
      <c r="C77" s="275"/>
      <c r="D77" s="275"/>
      <c r="E77" s="275"/>
      <c r="F77" s="275"/>
      <c r="G77" s="275"/>
      <c r="H77" s="275"/>
      <c r="I77" s="275"/>
      <c r="J77" s="142">
        <f>SUM(J73:J74)</f>
        <v>251350</v>
      </c>
    </row>
    <row r="78" spans="2:10" x14ac:dyDescent="0.45">
      <c r="B78" s="279" t="s">
        <v>175</v>
      </c>
      <c r="C78" s="280"/>
      <c r="D78" s="280"/>
      <c r="J78" s="156"/>
    </row>
    <row r="79" spans="2:10" x14ac:dyDescent="0.45">
      <c r="B79" s="281" t="str">
        <f>PROPER(IF(J77=0,"nol",IF(J77&lt;0,"minus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IF(--MID(TEXT(ABS(J77),"000000000000000"),1,3)=0,"",MID(TEXT(ABS(J77),"000000000000000"),1,1)&amp;" ratus "&amp;MID(TEXT(ABS(J77),"000000000000000"),2,1)&amp;" puluh "&amp;MID(TEXT(ABS(J77),"000000000000000"),3,1)&amp;" trilyun ")&amp; IF(--MID(TEXT(ABS(J77),"000000000000000"),4,3)=0,"",MID(TEXT(ABS(J77),"000000000000000"),4,1)&amp;" ratus "&amp;MID(TEXT(ABS(J77),"000000000000000"),5,1)&amp;" puluh "&amp;MID(TEXT(ABS(J77),"000000000000000"),6,1)&amp;" milyar ")&amp; IF(--MID(TEXT(ABS(J77),"000000000000000"),7,3)=0,"",MID(TEXT(ABS(J77),"000000000000000"),7,1)&amp;" ratus "&amp;MID(TEXT(ABS(J77),"000000000000000"),8,1)&amp;" puluh "&amp;MID(TEXT(ABS(J77),"000000000000000"),9,1)&amp;" juta ")&amp; IF(--MID(TEXT(ABS(J77),"000000000000000"),10,3)=0,"",IF(--MID(TEXT(ABS(J77),"000000000000000"),10,3)=1,"*",MID(TEXT(ABS(J77),"000000000000000"),10,1)&amp;" ratus "&amp;MID(TEXT(ABS(J77),"000000000000000"),11,1)&amp;" puluh ")&amp;MID(TEXT(ABS(J77),"000000000000000"),12,1)&amp;" ribu ")&amp; IF(--MID(TEXT(ABS(J77),"000000000000000"),13,3)=0,"",MID(TEXT(ABS(J77),"000000000000000"),13,1)&amp;" ratus "&amp;MID(TEXT(ABS(J77),"000000000000000"),14,1)&amp;" puluh "&amp;MID(TEXT(ABS(J77),"000000000000000"),15,1)),1,"satu"),2,"dua"),3,"tiga"),4,"empat"),5,"lima"),6,"enam"),7,"tujuh"),8,"delapan"),9,"sembilan"),"0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Puluh Satu Ribu Tiga Ratus Lima Puluh Rupiah</v>
      </c>
      <c r="C79" s="282"/>
      <c r="D79" s="282"/>
      <c r="E79" s="282"/>
      <c r="F79" s="282"/>
      <c r="G79" s="282"/>
      <c r="H79" s="282"/>
      <c r="I79" s="282"/>
      <c r="J79" s="283"/>
    </row>
    <row r="80" spans="2:10" x14ac:dyDescent="0.45">
      <c r="B80" s="284"/>
      <c r="C80" s="285"/>
      <c r="D80" s="285"/>
      <c r="E80" s="285"/>
      <c r="F80" s="285"/>
      <c r="G80" s="285"/>
      <c r="H80" s="285"/>
      <c r="I80" s="285"/>
      <c r="J80" s="286"/>
    </row>
    <row r="81" spans="2:10" x14ac:dyDescent="0.45">
      <c r="B81" s="157"/>
      <c r="E81" s="157"/>
      <c r="F81" s="157"/>
      <c r="G81" s="157"/>
      <c r="H81" s="157"/>
      <c r="I81" s="157"/>
      <c r="J81" s="157"/>
    </row>
    <row r="83" spans="2:10" x14ac:dyDescent="0.45">
      <c r="B83" s="110"/>
      <c r="C83" s="110"/>
      <c r="D83" s="110"/>
      <c r="E83" s="110"/>
      <c r="F83" s="110"/>
      <c r="G83" s="110"/>
      <c r="H83" s="110"/>
      <c r="I83" s="110" t="s">
        <v>121</v>
      </c>
      <c r="J83" s="148">
        <f>J61</f>
        <v>46198</v>
      </c>
    </row>
    <row r="84" spans="2:10" x14ac:dyDescent="0.45">
      <c r="B84" s="110" t="s">
        <v>166</v>
      </c>
      <c r="C84" s="110"/>
      <c r="D84" s="110"/>
      <c r="E84" s="110"/>
      <c r="F84" s="110"/>
      <c r="G84" s="110"/>
      <c r="H84" s="110"/>
      <c r="I84" s="110" t="s">
        <v>167</v>
      </c>
    </row>
    <row r="85" spans="2:10" x14ac:dyDescent="0.45">
      <c r="B85" s="146" t="s">
        <v>168</v>
      </c>
      <c r="C85" s="110"/>
      <c r="D85" s="110"/>
      <c r="E85" s="110"/>
      <c r="F85" s="110"/>
      <c r="G85" s="110"/>
      <c r="H85" s="128"/>
      <c r="I85" s="146" t="s">
        <v>169</v>
      </c>
      <c r="J85" s="144"/>
    </row>
    <row r="86" spans="2:10" x14ac:dyDescent="0.45">
      <c r="B86" s="146" t="s">
        <v>170</v>
      </c>
      <c r="C86" s="144"/>
      <c r="D86" s="144"/>
      <c r="E86" s="144"/>
      <c r="F86" s="144"/>
      <c r="G86" s="144"/>
      <c r="H86" s="128"/>
      <c r="I86" s="149" t="s">
        <v>211</v>
      </c>
      <c r="J86" s="144"/>
    </row>
    <row r="87" spans="2:10" x14ac:dyDescent="0.45">
      <c r="B87" s="128"/>
      <c r="C87" s="144"/>
      <c r="D87" s="144"/>
      <c r="E87" s="144"/>
      <c r="F87" s="144"/>
      <c r="G87" s="144"/>
      <c r="H87" s="128"/>
      <c r="I87" s="129"/>
      <c r="J87" s="144"/>
    </row>
    <row r="88" spans="2:10" x14ac:dyDescent="0.45">
      <c r="B88" s="128"/>
      <c r="C88" s="144"/>
      <c r="D88" s="144"/>
      <c r="E88" s="144"/>
      <c r="F88" s="144"/>
      <c r="G88" s="144"/>
      <c r="H88" s="128"/>
      <c r="I88" s="129"/>
      <c r="J88" s="144"/>
    </row>
    <row r="89" spans="2:10" x14ac:dyDescent="0.45">
      <c r="B89" s="128"/>
      <c r="C89" s="144"/>
      <c r="D89" s="144"/>
      <c r="E89" s="144"/>
      <c r="F89" s="144"/>
      <c r="G89" s="144"/>
      <c r="H89" s="128"/>
      <c r="I89" s="129"/>
      <c r="J89" s="144"/>
    </row>
    <row r="90" spans="2:10" x14ac:dyDescent="0.45">
      <c r="B90" s="128"/>
      <c r="C90" s="144"/>
      <c r="D90" s="144"/>
      <c r="E90" s="144"/>
      <c r="F90" s="144"/>
      <c r="G90" s="144"/>
      <c r="H90" s="128"/>
      <c r="I90" s="129"/>
      <c r="J90" s="144"/>
    </row>
    <row r="91" spans="2:10" x14ac:dyDescent="0.45">
      <c r="B91" s="128"/>
      <c r="C91" s="274"/>
      <c r="D91" s="274"/>
      <c r="E91" s="274"/>
      <c r="F91" s="274"/>
      <c r="G91" s="274"/>
      <c r="H91" s="128"/>
      <c r="I91" s="129"/>
      <c r="J91" s="144"/>
    </row>
    <row r="92" spans="2:10" x14ac:dyDescent="0.45">
      <c r="B92" s="151" t="str">
        <f>'SURAT NEGOSIASI (2)'!D22</f>
        <v>Bambang Solifian</v>
      </c>
      <c r="C92" s="144"/>
      <c r="D92" s="144"/>
      <c r="E92" s="144"/>
      <c r="F92" s="144"/>
      <c r="G92" s="144"/>
      <c r="H92" s="146"/>
      <c r="I92" s="152" t="str">
        <f>I48</f>
        <v>Khairunnisa</v>
      </c>
      <c r="J92" s="153"/>
    </row>
    <row r="93" spans="2:10" x14ac:dyDescent="0.45">
      <c r="B93" s="146" t="str">
        <f>'[3]SURAT NEGOSIASI'!C23</f>
        <v>Direktur Utama</v>
      </c>
      <c r="C93" s="144"/>
      <c r="D93" s="144"/>
      <c r="E93" s="144"/>
      <c r="F93" s="144"/>
      <c r="G93" s="144"/>
      <c r="H93" s="146"/>
      <c r="I93" s="149" t="str">
        <f>I49</f>
        <v>NIP. 198402112011012010</v>
      </c>
      <c r="J93" s="153"/>
    </row>
  </sheetData>
  <mergeCells count="59">
    <mergeCell ref="D2:J2"/>
    <mergeCell ref="D1:J1"/>
    <mergeCell ref="E3:J3"/>
    <mergeCell ref="B13:D13"/>
    <mergeCell ref="E4:J4"/>
    <mergeCell ref="A5:D5"/>
    <mergeCell ref="A9:J9"/>
    <mergeCell ref="A10:F10"/>
    <mergeCell ref="G10:J10"/>
    <mergeCell ref="B12:D12"/>
    <mergeCell ref="M6:S6"/>
    <mergeCell ref="K23:R23"/>
    <mergeCell ref="B14:D14"/>
    <mergeCell ref="P15:Q15"/>
    <mergeCell ref="C17:D17"/>
    <mergeCell ref="C18:D18"/>
    <mergeCell ref="C19:D19"/>
    <mergeCell ref="L19:N19"/>
    <mergeCell ref="O19:P19"/>
    <mergeCell ref="L20:N20"/>
    <mergeCell ref="O20:P20"/>
    <mergeCell ref="K21:R21"/>
    <mergeCell ref="C22:D22"/>
    <mergeCell ref="K22:R22"/>
    <mergeCell ref="M1:S1"/>
    <mergeCell ref="M2:S2"/>
    <mergeCell ref="M3:S3"/>
    <mergeCell ref="M4:S4"/>
    <mergeCell ref="M5:S5"/>
    <mergeCell ref="E24:J25"/>
    <mergeCell ref="K24:R24"/>
    <mergeCell ref="K25:R25"/>
    <mergeCell ref="C23:D23"/>
    <mergeCell ref="C24:D24"/>
    <mergeCell ref="C47:G47"/>
    <mergeCell ref="C50:G50"/>
    <mergeCell ref="B63:D63"/>
    <mergeCell ref="B64:D64"/>
    <mergeCell ref="B65:D65"/>
    <mergeCell ref="C67:E67"/>
    <mergeCell ref="F67:G67"/>
    <mergeCell ref="C69:E69"/>
    <mergeCell ref="F69:G69"/>
    <mergeCell ref="C70:E70"/>
    <mergeCell ref="F70:G70"/>
    <mergeCell ref="C68:E68"/>
    <mergeCell ref="F68:G68"/>
    <mergeCell ref="C71:E71"/>
    <mergeCell ref="F71:G71"/>
    <mergeCell ref="C72:E72"/>
    <mergeCell ref="F72:G72"/>
    <mergeCell ref="C91:G91"/>
    <mergeCell ref="B73:I73"/>
    <mergeCell ref="B74:I74"/>
    <mergeCell ref="B75:I75"/>
    <mergeCell ref="B76:I76"/>
    <mergeCell ref="B77:I77"/>
    <mergeCell ref="B78:D78"/>
    <mergeCell ref="B79:J80"/>
  </mergeCells>
  <pageMargins left="0.39370078740157483" right="0.19685039370078741" top="0.39370078740157483" bottom="0.39370078740157483" header="0.11811023622047245" footer="0.11811023622047245"/>
  <pageSetup paperSize="9" scale="8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0"/>
  <sheetViews>
    <sheetView view="pageBreakPreview" zoomScale="80" zoomScaleNormal="100" zoomScaleSheetLayoutView="80" workbookViewId="0">
      <selection activeCell="J28" sqref="J28"/>
    </sheetView>
  </sheetViews>
  <sheetFormatPr defaultColWidth="8.86328125" defaultRowHeight="14.25" x14ac:dyDescent="0.45"/>
  <cols>
    <col min="2" max="2" width="2" customWidth="1"/>
    <col min="3" max="3" width="11.59765625" customWidth="1"/>
    <col min="4" max="4" width="3.3984375" hidden="1" customWidth="1"/>
    <col min="5" max="5" width="5.265625" customWidth="1"/>
    <col min="7" max="7" width="7.86328125" customWidth="1"/>
    <col min="11" max="11" width="7.73046875" customWidth="1"/>
    <col min="12" max="12" width="11.86328125" customWidth="1"/>
    <col min="13" max="13" width="12.1328125" customWidth="1"/>
    <col min="14" max="14" width="9.1328125" customWidth="1"/>
    <col min="15" max="15" width="9.3984375" customWidth="1"/>
    <col min="16" max="16" width="8.86328125" hidden="1" customWidth="1"/>
    <col min="17" max="17" width="0.265625" customWidth="1"/>
  </cols>
  <sheetData>
    <row r="1" spans="1:17" ht="15.75" x14ac:dyDescent="0.5">
      <c r="C1" s="3"/>
    </row>
    <row r="2" spans="1:17" ht="15.75" customHeight="1" thickBot="1" x14ac:dyDescent="0.5">
      <c r="C2" s="2"/>
      <c r="L2" s="299" t="s">
        <v>3</v>
      </c>
      <c r="M2" s="299"/>
      <c r="N2" s="299"/>
      <c r="O2" s="299"/>
    </row>
    <row r="3" spans="1:17" ht="16.149999999999999" thickTop="1" x14ac:dyDescent="0.5">
      <c r="C3" s="1"/>
      <c r="K3" s="5"/>
      <c r="L3" s="309" t="s">
        <v>4</v>
      </c>
      <c r="M3" s="310"/>
      <c r="N3" s="311" t="s">
        <v>18</v>
      </c>
      <c r="O3" s="312"/>
    </row>
    <row r="4" spans="1:17" ht="15.75" x14ac:dyDescent="0.5">
      <c r="L4" s="308">
        <f>N6</f>
        <v>46189</v>
      </c>
      <c r="M4" s="301"/>
      <c r="N4" s="313" t="s">
        <v>246</v>
      </c>
      <c r="O4" s="303"/>
    </row>
    <row r="5" spans="1:17" ht="15.75" x14ac:dyDescent="0.5">
      <c r="L5" s="304" t="s">
        <v>5</v>
      </c>
      <c r="M5" s="305"/>
      <c r="N5" s="306" t="s">
        <v>19</v>
      </c>
      <c r="O5" s="307"/>
    </row>
    <row r="6" spans="1:17" ht="15.75" x14ac:dyDescent="0.5">
      <c r="C6" s="295"/>
      <c r="D6" s="295"/>
      <c r="E6" s="295"/>
      <c r="F6" s="295"/>
      <c r="G6" s="295"/>
      <c r="L6" s="300" t="s">
        <v>6</v>
      </c>
      <c r="M6" s="301"/>
      <c r="N6" s="302">
        <v>46189</v>
      </c>
      <c r="O6" s="303"/>
    </row>
    <row r="7" spans="1:17" ht="15.75" x14ac:dyDescent="0.5">
      <c r="A7" s="3" t="s">
        <v>0</v>
      </c>
      <c r="B7" s="3" t="s">
        <v>1</v>
      </c>
      <c r="C7" s="3" t="str">
        <f>HPS!A3</f>
        <v>SEKOLAH DASAR NEGERI KEBON KOSONG 09</v>
      </c>
      <c r="D7" s="3"/>
      <c r="E7" s="3"/>
      <c r="F7" s="3"/>
      <c r="G7" s="3"/>
      <c r="H7" s="3"/>
      <c r="I7" s="3"/>
      <c r="J7" s="3"/>
      <c r="L7" s="304" t="s">
        <v>7</v>
      </c>
      <c r="M7" s="305"/>
      <c r="N7" s="306" t="s">
        <v>9</v>
      </c>
      <c r="O7" s="307"/>
    </row>
    <row r="8" spans="1:17" ht="16.149999999999999" thickBot="1" x14ac:dyDescent="0.55000000000000004">
      <c r="A8" s="3"/>
      <c r="B8" s="3"/>
      <c r="C8" s="3"/>
      <c r="D8" s="3"/>
      <c r="E8" s="3"/>
      <c r="F8" s="3"/>
      <c r="G8" s="3"/>
      <c r="H8" s="3"/>
      <c r="I8" s="3"/>
      <c r="J8" s="3"/>
      <c r="L8" s="318" t="s">
        <v>8</v>
      </c>
      <c r="M8" s="319"/>
      <c r="N8" s="316" t="s">
        <v>10</v>
      </c>
      <c r="O8" s="317"/>
    </row>
    <row r="9" spans="1:17" ht="16.149999999999999" thickTop="1" x14ac:dyDescent="0.5">
      <c r="A9" s="3" t="s">
        <v>2</v>
      </c>
      <c r="B9" s="3" t="s">
        <v>1</v>
      </c>
      <c r="C9" s="190" t="str">
        <f>C7</f>
        <v>SEKOLAH DASAR NEGERI KEBON KOSONG 09</v>
      </c>
      <c r="D9" s="190"/>
      <c r="E9" s="190"/>
      <c r="F9" s="190"/>
      <c r="G9" s="190"/>
      <c r="H9" s="3"/>
      <c r="I9" s="3"/>
      <c r="J9" s="3"/>
      <c r="L9" s="4"/>
      <c r="M9" s="4"/>
    </row>
    <row r="10" spans="1:17" ht="15.75" x14ac:dyDescent="0.5">
      <c r="A10" s="3"/>
      <c r="B10" s="3"/>
      <c r="C10" s="3" t="str">
        <f>HPS!A4</f>
        <v>Jl. Kemayoran Gempol no.32 RT 015.05</v>
      </c>
      <c r="D10" s="3"/>
      <c r="E10" s="3"/>
      <c r="F10" s="3"/>
      <c r="G10" s="3"/>
      <c r="H10" s="3"/>
      <c r="I10" s="3"/>
      <c r="J10" s="3"/>
    </row>
    <row r="11" spans="1:17" ht="14.65" thickBot="1" x14ac:dyDescent="0.5"/>
    <row r="12" spans="1:17" ht="16.149999999999999" thickBot="1" x14ac:dyDescent="0.55000000000000004">
      <c r="A12" s="296" t="s">
        <v>11</v>
      </c>
      <c r="B12" s="296"/>
      <c r="C12" s="296"/>
      <c r="D12" s="296"/>
      <c r="E12" s="183" t="s">
        <v>12</v>
      </c>
      <c r="F12" s="296" t="s">
        <v>13</v>
      </c>
      <c r="G12" s="296"/>
      <c r="H12" s="296" t="s">
        <v>65</v>
      </c>
      <c r="I12" s="296"/>
      <c r="J12" s="296" t="s">
        <v>85</v>
      </c>
      <c r="K12" s="296"/>
      <c r="L12" s="197" t="s">
        <v>146</v>
      </c>
      <c r="M12" s="197" t="s">
        <v>147</v>
      </c>
      <c r="N12" s="296" t="s">
        <v>14</v>
      </c>
      <c r="O12" s="296"/>
      <c r="P12" s="296"/>
      <c r="Q12" s="296"/>
    </row>
    <row r="13" spans="1:17" ht="31.5" customHeight="1" thickBot="1" x14ac:dyDescent="0.55000000000000004">
      <c r="A13" s="297" t="str">
        <f>HPS!C17</f>
        <v>glass cleaner</v>
      </c>
      <c r="B13" s="298"/>
      <c r="C13" s="298"/>
      <c r="D13" s="314"/>
      <c r="E13" s="183">
        <f>HPS!F17</f>
        <v>15</v>
      </c>
      <c r="F13" s="294">
        <f>HPS!I17</f>
        <v>16000</v>
      </c>
      <c r="G13" s="294"/>
      <c r="H13" s="294">
        <f>E13*F13</f>
        <v>240000</v>
      </c>
      <c r="I13" s="294"/>
      <c r="J13" s="294">
        <f>H13*11%</f>
        <v>26400</v>
      </c>
      <c r="K13" s="315"/>
      <c r="L13" s="186">
        <f>H13*1.5%</f>
        <v>3600</v>
      </c>
      <c r="M13" s="199"/>
      <c r="N13" s="322">
        <f>HPS!J17</f>
        <v>240000</v>
      </c>
      <c r="O13" s="294"/>
      <c r="P13" s="294"/>
      <c r="Q13" s="294"/>
    </row>
    <row r="14" spans="1:17" ht="31.5" customHeight="1" thickBot="1" x14ac:dyDescent="0.55000000000000004">
      <c r="A14" s="297" t="str">
        <f>HPS!C18</f>
        <v>dust cleaner</v>
      </c>
      <c r="B14" s="298"/>
      <c r="C14" s="298"/>
      <c r="D14" s="184"/>
      <c r="E14" s="183">
        <f>HPS!F18</f>
        <v>3</v>
      </c>
      <c r="F14" s="294">
        <f>HPS!I18</f>
        <v>185000</v>
      </c>
      <c r="G14" s="294"/>
      <c r="H14" s="294">
        <f t="shared" ref="H14:H20" si="0">E14*F14</f>
        <v>555000</v>
      </c>
      <c r="I14" s="294"/>
      <c r="J14" s="294">
        <f t="shared" ref="J14:J20" si="1">H14*11%</f>
        <v>61050</v>
      </c>
      <c r="K14" s="315"/>
      <c r="L14" s="186">
        <f t="shared" ref="L14:L20" si="2">H14*1.5%</f>
        <v>8325</v>
      </c>
      <c r="M14" s="199"/>
      <c r="N14" s="322">
        <f>HPS!J18</f>
        <v>555000</v>
      </c>
      <c r="O14" s="294"/>
      <c r="P14" s="294"/>
      <c r="Q14" s="294"/>
    </row>
    <row r="15" spans="1:17" ht="31.5" customHeight="1" thickBot="1" x14ac:dyDescent="0.55000000000000004">
      <c r="A15" s="297" t="str">
        <f>HPS!C19</f>
        <v>karbol</v>
      </c>
      <c r="B15" s="298"/>
      <c r="C15" s="298"/>
      <c r="D15" s="184"/>
      <c r="E15" s="183">
        <f>HPS!F19</f>
        <v>5</v>
      </c>
      <c r="F15" s="294">
        <f>HPS!I19</f>
        <v>23000</v>
      </c>
      <c r="G15" s="294"/>
      <c r="H15" s="294">
        <f t="shared" si="0"/>
        <v>115000</v>
      </c>
      <c r="I15" s="294"/>
      <c r="J15" s="294">
        <f t="shared" si="1"/>
        <v>12650</v>
      </c>
      <c r="K15" s="315"/>
      <c r="L15" s="186">
        <f t="shared" si="2"/>
        <v>1725</v>
      </c>
      <c r="M15" s="199"/>
      <c r="N15" s="321">
        <f>HPS!J19</f>
        <v>115000</v>
      </c>
      <c r="O15" s="322"/>
      <c r="P15" s="219"/>
      <c r="Q15" s="219"/>
    </row>
    <row r="16" spans="1:17" ht="31.5" customHeight="1" thickBot="1" x14ac:dyDescent="0.55000000000000004">
      <c r="A16" s="297" t="str">
        <f>HPS!C20</f>
        <v>sabun cuci piring</v>
      </c>
      <c r="B16" s="298"/>
      <c r="C16" s="298"/>
      <c r="D16" s="184"/>
      <c r="E16" s="183">
        <f>HPS!F20</f>
        <v>3</v>
      </c>
      <c r="F16" s="294">
        <f>HPS!I20</f>
        <v>79000</v>
      </c>
      <c r="G16" s="294"/>
      <c r="H16" s="294">
        <f t="shared" si="0"/>
        <v>237000</v>
      </c>
      <c r="I16" s="294"/>
      <c r="J16" s="294">
        <f t="shared" si="1"/>
        <v>26070</v>
      </c>
      <c r="K16" s="315"/>
      <c r="L16" s="186">
        <f t="shared" si="2"/>
        <v>3555</v>
      </c>
      <c r="M16" s="199"/>
      <c r="N16" s="321">
        <f>HPS!J20</f>
        <v>237000</v>
      </c>
      <c r="O16" s="322"/>
      <c r="P16" s="219"/>
      <c r="Q16" s="219"/>
    </row>
    <row r="17" spans="1:17" ht="31.5" customHeight="1" thickBot="1" x14ac:dyDescent="0.55000000000000004">
      <c r="A17" s="297" t="str">
        <f>HPS!C21</f>
        <v>pembersih  porselin</v>
      </c>
      <c r="B17" s="298"/>
      <c r="C17" s="298"/>
      <c r="D17" s="218"/>
      <c r="E17" s="183">
        <f>HPS!F21</f>
        <v>3</v>
      </c>
      <c r="F17" s="294">
        <f>HPS!I21</f>
        <v>106000</v>
      </c>
      <c r="G17" s="294"/>
      <c r="H17" s="294">
        <f t="shared" si="0"/>
        <v>318000</v>
      </c>
      <c r="I17" s="294"/>
      <c r="J17" s="294">
        <f t="shared" si="1"/>
        <v>34980</v>
      </c>
      <c r="K17" s="315"/>
      <c r="L17" s="186">
        <f t="shared" si="2"/>
        <v>4770</v>
      </c>
      <c r="M17" s="199"/>
      <c r="N17" s="321">
        <f>HPS!J21</f>
        <v>318000</v>
      </c>
      <c r="O17" s="322"/>
      <c r="P17" s="219"/>
      <c r="Q17" s="219"/>
    </row>
    <row r="18" spans="1:17" ht="16.149999999999999" thickBot="1" x14ac:dyDescent="0.55000000000000004">
      <c r="A18" s="328" t="str">
        <f>HPS!C22</f>
        <v>sabun cuci tangan cair</v>
      </c>
      <c r="B18" s="329"/>
      <c r="C18" s="329"/>
      <c r="D18" s="330"/>
      <c r="E18" s="183">
        <f>HPS!F22</f>
        <v>6</v>
      </c>
      <c r="F18" s="294">
        <f>HPS!I22</f>
        <v>45000</v>
      </c>
      <c r="G18" s="294"/>
      <c r="H18" s="294">
        <f t="shared" si="0"/>
        <v>270000</v>
      </c>
      <c r="I18" s="294"/>
      <c r="J18" s="294">
        <f t="shared" si="1"/>
        <v>29700</v>
      </c>
      <c r="K18" s="315"/>
      <c r="L18" s="186">
        <f t="shared" si="2"/>
        <v>4050</v>
      </c>
      <c r="M18" s="198"/>
      <c r="N18" s="294">
        <f>HPS!J22</f>
        <v>270000</v>
      </c>
      <c r="O18" s="294"/>
      <c r="P18" s="294"/>
      <c r="Q18" s="294"/>
    </row>
    <row r="19" spans="1:17" ht="16.149999999999999" thickBot="1" x14ac:dyDescent="0.55000000000000004">
      <c r="A19" s="328" t="str">
        <f>HPS!C23</f>
        <v>kamper</v>
      </c>
      <c r="B19" s="329"/>
      <c r="C19" s="329"/>
      <c r="D19" s="330"/>
      <c r="E19" s="183">
        <f>HPS!F23</f>
        <v>5</v>
      </c>
      <c r="F19" s="294">
        <f>HPS!I23</f>
        <v>64000</v>
      </c>
      <c r="G19" s="294"/>
      <c r="H19" s="294">
        <f t="shared" si="0"/>
        <v>320000</v>
      </c>
      <c r="I19" s="294"/>
      <c r="J19" s="294">
        <f t="shared" si="1"/>
        <v>35200</v>
      </c>
      <c r="K19" s="315"/>
      <c r="L19" s="186">
        <f t="shared" si="2"/>
        <v>4800</v>
      </c>
      <c r="M19" s="187"/>
      <c r="N19" s="294">
        <f>HPS!J23</f>
        <v>320000</v>
      </c>
      <c r="O19" s="294"/>
      <c r="P19" s="294"/>
      <c r="Q19" s="294"/>
    </row>
    <row r="20" spans="1:17" ht="16.149999999999999" thickBot="1" x14ac:dyDescent="0.55000000000000004">
      <c r="A20" s="328" t="str">
        <f>HPS!C24</f>
        <v>pengharum kloset</v>
      </c>
      <c r="B20" s="329"/>
      <c r="C20" s="329"/>
      <c r="D20" s="330"/>
      <c r="E20" s="183">
        <f>HPS!F24</f>
        <v>10</v>
      </c>
      <c r="F20" s="294">
        <f>HPS!I24</f>
        <v>23000</v>
      </c>
      <c r="G20" s="294"/>
      <c r="H20" s="294">
        <f t="shared" si="0"/>
        <v>230000</v>
      </c>
      <c r="I20" s="294"/>
      <c r="J20" s="294">
        <f t="shared" si="1"/>
        <v>25300</v>
      </c>
      <c r="K20" s="315"/>
      <c r="L20" s="186">
        <f t="shared" si="2"/>
        <v>3450</v>
      </c>
      <c r="M20" s="187"/>
      <c r="N20" s="294">
        <f>HPS!J24</f>
        <v>230000</v>
      </c>
      <c r="O20" s="294"/>
      <c r="P20" s="294"/>
      <c r="Q20" s="294"/>
    </row>
    <row r="21" spans="1:17" ht="16.149999999999999" thickBot="1" x14ac:dyDescent="0.55000000000000004">
      <c r="A21" s="328"/>
      <c r="B21" s="329"/>
      <c r="C21" s="329"/>
      <c r="D21" s="185"/>
      <c r="E21" s="183"/>
      <c r="F21" s="326"/>
      <c r="G21" s="326"/>
      <c r="H21" s="326"/>
      <c r="I21" s="296"/>
      <c r="J21" s="326"/>
      <c r="K21" s="327"/>
      <c r="L21" s="186"/>
      <c r="M21" s="187"/>
      <c r="N21" s="326"/>
      <c r="O21" s="326"/>
      <c r="P21" s="326"/>
      <c r="Q21" s="326"/>
    </row>
    <row r="22" spans="1:17" ht="16.149999999999999" thickBot="1" x14ac:dyDescent="0.55000000000000004">
      <c r="A22" s="328" t="s">
        <v>65</v>
      </c>
      <c r="B22" s="329"/>
      <c r="C22" s="329"/>
      <c r="D22" s="329"/>
      <c r="E22" s="329"/>
      <c r="F22" s="329"/>
      <c r="G22" s="330"/>
      <c r="H22" s="325">
        <f>SUM(H13:I21)</f>
        <v>2285000</v>
      </c>
      <c r="I22" s="325"/>
      <c r="J22" s="325">
        <f>HPS!J27</f>
        <v>251350</v>
      </c>
      <c r="K22" s="325"/>
      <c r="L22" s="188">
        <f>HPS!J26</f>
        <v>34275</v>
      </c>
      <c r="M22" s="189"/>
      <c r="N22" s="315">
        <f>HPS!J28</f>
        <v>2536350</v>
      </c>
      <c r="O22" s="321"/>
      <c r="P22" s="321"/>
      <c r="Q22" s="322"/>
    </row>
    <row r="23" spans="1:17" ht="21" customHeight="1" x14ac:dyDescent="0.5">
      <c r="A23" s="191" t="s">
        <v>15</v>
      </c>
      <c r="B23" s="192" t="s">
        <v>1</v>
      </c>
      <c r="C23" s="193" t="str">
        <f>PROPER(IF(N22=0,"nol",IF(N22&lt;0,"minus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IF(--MID(TEXT(ABS(N22),"000000000000000"),1,3)=0,"",MID(TEXT(ABS(N22),"000000000000000"),1,1)&amp;" ratus "&amp;MID(TEXT(ABS(N22),"000000000000000"),2,1)&amp;" puluh "&amp;MID(TEXT(ABS(N22),"000000000000000"),3,1)&amp;" trilyun ")&amp; IF(--MID(TEXT(ABS(N22),"000000000000000"),4,3)=0,"",MID(TEXT(ABS(N22),"000000000000000"),4,1)&amp;" ratus "&amp;MID(TEXT(ABS(N22),"000000000000000"),5,1)&amp;" puluh "&amp;MID(TEXT(ABS(N22),"000000000000000"),6,1)&amp;" milyar ")&amp; IF(--MID(TEXT(ABS(N22),"000000000000000"),7,3)=0,"",MID(TEXT(ABS(N22),"000000000000000"),7,1)&amp;" ratus "&amp;MID(TEXT(ABS(N22),"000000000000000"),8,1)&amp;" puluh "&amp;MID(TEXT(ABS(N22),"000000000000000"),9,1)&amp;" juta ")&amp; IF(--MID(TEXT(ABS(N22),"000000000000000"),10,3)=0,"",IF(--MID(TEXT(ABS(N22),"000000000000000"),10,3)=1,"*",MID(TEXT(ABS(N22),"000000000000000"),10,1)&amp;" ratus "&amp;MID(TEXT(ABS(N22),"000000000000000"),11,1)&amp;" puluh ")&amp;MID(TEXT(ABS(N22),"000000000000000"),12,1)&amp;" ribu ")&amp; IF(--MID(TEXT(ABS(N22),"000000000000000"),13,3)=0,"",MID(TEXT(ABS(N22),"000000000000000"),13,1)&amp;" ratus "&amp;MID(TEXT(ABS(N22),"000000000000000"),14,1)&amp;" puluh "&amp;MID(TEXT(ABS(N22),"000000000000000"),15,1)),1,"satu"),2,"dua"),3,"tiga"),4,"empat"),5,"lima"),6,"enam"),7,"tujuh"),8,"delapan"),9,"sembilan"),"0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Lima Ratus Tiga Puluh Enam Ribu Tiga Ratus Lima Puluh Rupiah</v>
      </c>
      <c r="D23" s="193"/>
      <c r="E23" s="193"/>
      <c r="F23" s="193"/>
      <c r="G23" s="193"/>
      <c r="H23" s="193"/>
      <c r="I23" s="193"/>
      <c r="J23" s="193"/>
      <c r="K23" s="3"/>
      <c r="L23" s="194"/>
      <c r="M23" s="194"/>
      <c r="N23" s="194"/>
      <c r="O23" s="71"/>
    </row>
    <row r="24" spans="1:17" ht="15.75" x14ac:dyDescent="0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23"/>
      <c r="M24" s="323"/>
      <c r="N24" s="323"/>
      <c r="O24" s="71"/>
    </row>
    <row r="25" spans="1:17" ht="15.75" x14ac:dyDescent="0.5">
      <c r="A25" s="324" t="s">
        <v>16</v>
      </c>
      <c r="B25" s="324"/>
      <c r="C25" s="324"/>
      <c r="D25" s="3"/>
      <c r="E25" s="3"/>
      <c r="F25" s="3"/>
      <c r="G25" s="3"/>
      <c r="H25" s="3"/>
      <c r="I25" s="3"/>
      <c r="J25" s="3"/>
      <c r="K25" s="324" t="s">
        <v>17</v>
      </c>
      <c r="L25" s="324"/>
      <c r="M25" s="195"/>
      <c r="N25" s="195"/>
      <c r="O25" s="71"/>
    </row>
    <row r="26" spans="1:17" ht="15.75" x14ac:dyDescent="0.5">
      <c r="A26" s="324"/>
      <c r="B26" s="324"/>
      <c r="C26" s="324"/>
      <c r="D26" s="3"/>
      <c r="E26" s="3"/>
      <c r="F26" s="3"/>
      <c r="G26" s="3"/>
      <c r="H26" s="3"/>
      <c r="I26" s="3"/>
      <c r="J26" s="3"/>
      <c r="K26" s="324"/>
      <c r="L26" s="324"/>
      <c r="M26" s="196"/>
      <c r="N26" s="196"/>
      <c r="O26" s="320"/>
    </row>
    <row r="27" spans="1:17" ht="15.75" x14ac:dyDescent="0.5">
      <c r="A27" s="324"/>
      <c r="B27" s="324"/>
      <c r="C27" s="324"/>
      <c r="D27" s="3"/>
      <c r="E27" s="3"/>
      <c r="F27" s="3"/>
      <c r="G27" s="3"/>
      <c r="H27" s="3"/>
      <c r="I27" s="3"/>
      <c r="J27" s="3"/>
      <c r="K27" s="324"/>
      <c r="L27" s="324"/>
      <c r="M27" s="196"/>
      <c r="N27" s="196"/>
      <c r="O27" s="320"/>
    </row>
    <row r="28" spans="1:17" ht="15.75" x14ac:dyDescent="0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7" ht="15.75" x14ac:dyDescent="0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7" ht="14.65" thickBot="1" x14ac:dyDescent="0.5">
      <c r="A30" s="331" t="s">
        <v>207</v>
      </c>
      <c r="B30" s="331"/>
      <c r="C30" s="331"/>
      <c r="K30" s="331"/>
      <c r="L30" s="331"/>
    </row>
  </sheetData>
  <mergeCells count="78">
    <mergeCell ref="A30:C30"/>
    <mergeCell ref="K25:L25"/>
    <mergeCell ref="K30:L30"/>
    <mergeCell ref="K27:L27"/>
    <mergeCell ref="F18:G18"/>
    <mergeCell ref="F19:G19"/>
    <mergeCell ref="A18:D18"/>
    <mergeCell ref="A21:C21"/>
    <mergeCell ref="A26:C26"/>
    <mergeCell ref="A27:C27"/>
    <mergeCell ref="A19:D19"/>
    <mergeCell ref="H18:I18"/>
    <mergeCell ref="H19:I19"/>
    <mergeCell ref="N21:Q21"/>
    <mergeCell ref="J21:K21"/>
    <mergeCell ref="F20:G20"/>
    <mergeCell ref="F21:G21"/>
    <mergeCell ref="A25:C25"/>
    <mergeCell ref="A22:G22"/>
    <mergeCell ref="A20:D20"/>
    <mergeCell ref="H22:I22"/>
    <mergeCell ref="H20:I20"/>
    <mergeCell ref="H21:I21"/>
    <mergeCell ref="N18:Q18"/>
    <mergeCell ref="N19:Q19"/>
    <mergeCell ref="N20:Q20"/>
    <mergeCell ref="N13:Q13"/>
    <mergeCell ref="J18:K18"/>
    <mergeCell ref="J19:K19"/>
    <mergeCell ref="J20:K20"/>
    <mergeCell ref="N14:Q14"/>
    <mergeCell ref="N15:O15"/>
    <mergeCell ref="N16:O16"/>
    <mergeCell ref="N17:O17"/>
    <mergeCell ref="J14:K14"/>
    <mergeCell ref="J15:K15"/>
    <mergeCell ref="J16:K16"/>
    <mergeCell ref="J17:K17"/>
    <mergeCell ref="O26:O27"/>
    <mergeCell ref="N22:Q22"/>
    <mergeCell ref="L24:N24"/>
    <mergeCell ref="K26:L26"/>
    <mergeCell ref="J22:K22"/>
    <mergeCell ref="J12:K12"/>
    <mergeCell ref="F13:G13"/>
    <mergeCell ref="A13:D13"/>
    <mergeCell ref="J13:K13"/>
    <mergeCell ref="N8:O8"/>
    <mergeCell ref="L8:M8"/>
    <mergeCell ref="N12:Q12"/>
    <mergeCell ref="H13:I13"/>
    <mergeCell ref="L2:O2"/>
    <mergeCell ref="L6:M6"/>
    <mergeCell ref="N6:O6"/>
    <mergeCell ref="L7:M7"/>
    <mergeCell ref="N7:O7"/>
    <mergeCell ref="L5:M5"/>
    <mergeCell ref="N5:O5"/>
    <mergeCell ref="L4:M4"/>
    <mergeCell ref="L3:M3"/>
    <mergeCell ref="N3:O3"/>
    <mergeCell ref="N4:O4"/>
    <mergeCell ref="H14:I14"/>
    <mergeCell ref="H15:I15"/>
    <mergeCell ref="H16:I16"/>
    <mergeCell ref="H17:I17"/>
    <mergeCell ref="C6:G6"/>
    <mergeCell ref="A12:D12"/>
    <mergeCell ref="F12:G12"/>
    <mergeCell ref="H12:I12"/>
    <mergeCell ref="A14:C14"/>
    <mergeCell ref="A15:C15"/>
    <mergeCell ref="A16:C16"/>
    <mergeCell ref="A17:C17"/>
    <mergeCell ref="F14:G14"/>
    <mergeCell ref="F15:G15"/>
    <mergeCell ref="F16:G16"/>
    <mergeCell ref="F17:G17"/>
  </mergeCells>
  <pageMargins left="0.78740157480314965" right="0.78740157480314965" top="0.74803149606299213" bottom="0.74803149606299213" header="0.31496062992125984" footer="0.31496062992125984"/>
  <pageSetup paperSize="10000" scale="70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9"/>
  <sheetViews>
    <sheetView view="pageBreakPreview" zoomScaleNormal="100" zoomScaleSheetLayoutView="100" workbookViewId="0">
      <selection activeCell="E7" sqref="E7"/>
    </sheetView>
  </sheetViews>
  <sheetFormatPr defaultColWidth="8.86328125" defaultRowHeight="14.25" x14ac:dyDescent="0.45"/>
  <cols>
    <col min="2" max="2" width="18.73046875" customWidth="1"/>
    <col min="5" max="5" width="54.9296875" customWidth="1"/>
    <col min="6" max="6" width="8.86328125" hidden="1" customWidth="1"/>
  </cols>
  <sheetData>
    <row r="2" spans="1:6" x14ac:dyDescent="0.45">
      <c r="A2" s="8"/>
      <c r="B2" s="9"/>
      <c r="C2" s="9"/>
      <c r="D2" s="9"/>
      <c r="E2" s="9"/>
      <c r="F2" s="10"/>
    </row>
    <row r="3" spans="1:6" ht="25.5" x14ac:dyDescent="0.45">
      <c r="A3" s="11"/>
      <c r="B3" s="12"/>
      <c r="C3" s="332" t="s">
        <v>26</v>
      </c>
      <c r="D3" s="332"/>
      <c r="E3" s="332"/>
      <c r="F3" s="14"/>
    </row>
    <row r="4" spans="1:6" ht="15" customHeight="1" x14ac:dyDescent="0.45">
      <c r="A4" s="15"/>
      <c r="B4" s="16"/>
      <c r="C4" s="363" t="s">
        <v>27</v>
      </c>
      <c r="D4" s="363"/>
      <c r="E4" s="363"/>
      <c r="F4" s="14"/>
    </row>
    <row r="5" spans="1:6" x14ac:dyDescent="0.45">
      <c r="A5" s="15"/>
      <c r="B5" s="16"/>
      <c r="C5" s="363" t="s">
        <v>28</v>
      </c>
      <c r="D5" s="364"/>
      <c r="E5" s="364"/>
      <c r="F5" s="14"/>
    </row>
    <row r="6" spans="1:6" x14ac:dyDescent="0.45">
      <c r="A6" s="15"/>
      <c r="B6" s="16"/>
      <c r="C6" s="333" t="s">
        <v>29</v>
      </c>
      <c r="D6" s="333"/>
      <c r="E6" s="333"/>
      <c r="F6" s="14"/>
    </row>
    <row r="7" spans="1:6" x14ac:dyDescent="0.45">
      <c r="A7" s="17"/>
      <c r="B7" s="18"/>
      <c r="C7" s="18"/>
      <c r="D7" s="18"/>
      <c r="E7" s="18"/>
      <c r="F7" s="19"/>
    </row>
    <row r="8" spans="1:6" ht="17.25" x14ac:dyDescent="0.45">
      <c r="A8" s="360" t="s">
        <v>20</v>
      </c>
      <c r="B8" s="361"/>
      <c r="C8" s="361"/>
      <c r="D8" s="361"/>
      <c r="E8" s="361"/>
      <c r="F8" s="362"/>
    </row>
    <row r="9" spans="1:6" x14ac:dyDescent="0.45">
      <c r="A9" s="20"/>
      <c r="B9" s="13" t="s">
        <v>21</v>
      </c>
      <c r="C9" s="21" t="s">
        <v>252</v>
      </c>
      <c r="D9" s="21"/>
      <c r="E9" s="21"/>
      <c r="F9" s="14"/>
    </row>
    <row r="10" spans="1:6" x14ac:dyDescent="0.45">
      <c r="A10" s="20"/>
      <c r="B10" s="13" t="s">
        <v>22</v>
      </c>
      <c r="C10" s="13"/>
      <c r="D10" s="13"/>
      <c r="E10" s="13"/>
      <c r="F10" s="14"/>
    </row>
    <row r="11" spans="1:6" x14ac:dyDescent="0.45">
      <c r="A11" s="20"/>
      <c r="B11" s="336" t="s">
        <v>237</v>
      </c>
      <c r="C11" s="337"/>
      <c r="D11" s="337"/>
      <c r="E11" s="338"/>
      <c r="F11" s="14"/>
    </row>
    <row r="12" spans="1:6" x14ac:dyDescent="0.45">
      <c r="A12" s="20"/>
      <c r="B12" s="339"/>
      <c r="C12" s="340"/>
      <c r="D12" s="340"/>
      <c r="E12" s="341"/>
      <c r="F12" s="22"/>
    </row>
    <row r="13" spans="1:6" x14ac:dyDescent="0.45">
      <c r="A13" s="20"/>
      <c r="B13" s="23" t="s">
        <v>23</v>
      </c>
      <c r="C13" s="23"/>
      <c r="D13" s="23"/>
      <c r="E13" s="23"/>
      <c r="F13" s="14"/>
    </row>
    <row r="14" spans="1:6" x14ac:dyDescent="0.45">
      <c r="A14" s="24"/>
      <c r="B14" s="342" t="str">
        <f>FAKTUR!C23</f>
        <v>Dua Juta Lima Ratus Tiga Puluh Enam Ribu Tiga Ratus Lima Puluh Rupiah</v>
      </c>
      <c r="C14" s="343"/>
      <c r="D14" s="343"/>
      <c r="E14" s="344"/>
      <c r="F14" s="14"/>
    </row>
    <row r="15" spans="1:6" x14ac:dyDescent="0.45">
      <c r="A15" s="20"/>
      <c r="B15" s="345"/>
      <c r="C15" s="346"/>
      <c r="D15" s="346"/>
      <c r="E15" s="347"/>
      <c r="F15" s="14"/>
    </row>
    <row r="16" spans="1:6" x14ac:dyDescent="0.45">
      <c r="A16" s="20"/>
      <c r="B16" s="348"/>
      <c r="C16" s="349"/>
      <c r="D16" s="349"/>
      <c r="E16" s="350"/>
      <c r="F16" s="14"/>
    </row>
    <row r="17" spans="1:6" x14ac:dyDescent="0.45">
      <c r="A17" s="20"/>
      <c r="B17" s="13" t="s">
        <v>24</v>
      </c>
      <c r="C17" s="25"/>
      <c r="D17" s="13"/>
      <c r="E17" s="13"/>
      <c r="F17" s="14"/>
    </row>
    <row r="18" spans="1:6" x14ac:dyDescent="0.45">
      <c r="A18" s="20"/>
      <c r="B18" s="351" t="str">
        <f>HPS!E10</f>
        <v>Pemeliharaan Sarana dan Prasarana Sekolah</v>
      </c>
      <c r="C18" s="352"/>
      <c r="D18" s="352"/>
      <c r="E18" s="353"/>
      <c r="F18" s="22"/>
    </row>
    <row r="19" spans="1:6" x14ac:dyDescent="0.45">
      <c r="A19" s="20"/>
      <c r="B19" s="354"/>
      <c r="C19" s="355"/>
      <c r="D19" s="355"/>
      <c r="E19" s="356"/>
      <c r="F19" s="22"/>
    </row>
    <row r="20" spans="1:6" x14ac:dyDescent="0.45">
      <c r="A20" s="20"/>
      <c r="B20" s="13" t="s">
        <v>25</v>
      </c>
      <c r="C20" s="13"/>
      <c r="D20" s="13"/>
      <c r="E20" s="13"/>
      <c r="F20" s="14"/>
    </row>
    <row r="21" spans="1:6" ht="15" x14ac:dyDescent="0.45">
      <c r="A21" s="20"/>
      <c r="B21" s="357">
        <f>FAKTUR!N22</f>
        <v>2536350</v>
      </c>
      <c r="C21" s="26"/>
      <c r="D21" s="7"/>
      <c r="E21" s="53" t="s">
        <v>213</v>
      </c>
      <c r="F21" s="28"/>
    </row>
    <row r="22" spans="1:6" ht="15" x14ac:dyDescent="0.45">
      <c r="A22" s="20"/>
      <c r="B22" s="358"/>
      <c r="C22" s="26"/>
      <c r="D22" s="333" t="s">
        <v>181</v>
      </c>
      <c r="E22" s="333"/>
      <c r="F22" s="359"/>
    </row>
    <row r="23" spans="1:6" x14ac:dyDescent="0.45">
      <c r="A23" s="20"/>
      <c r="B23" s="27"/>
      <c r="C23" s="13"/>
      <c r="D23" s="13"/>
      <c r="E23" s="13"/>
      <c r="F23" s="14"/>
    </row>
    <row r="24" spans="1:6" x14ac:dyDescent="0.45">
      <c r="A24" s="20"/>
      <c r="B24" s="13"/>
      <c r="C24" s="13"/>
      <c r="D24" s="13"/>
      <c r="E24" s="13"/>
      <c r="F24" s="14"/>
    </row>
    <row r="25" spans="1:6" x14ac:dyDescent="0.45">
      <c r="A25" s="20"/>
      <c r="B25" s="13"/>
      <c r="C25" s="13"/>
      <c r="D25" s="13"/>
      <c r="E25" s="13"/>
      <c r="F25" s="14"/>
    </row>
    <row r="26" spans="1:6" x14ac:dyDescent="0.45">
      <c r="A26" s="20"/>
      <c r="B26" s="13"/>
      <c r="C26" s="13"/>
      <c r="D26" s="13"/>
      <c r="E26" s="13"/>
      <c r="F26" s="14"/>
    </row>
    <row r="27" spans="1:6" x14ac:dyDescent="0.45">
      <c r="A27" s="20"/>
      <c r="B27" s="13"/>
      <c r="C27" s="13"/>
      <c r="D27" s="13"/>
      <c r="E27" s="13"/>
      <c r="F27" s="14"/>
    </row>
    <row r="28" spans="1:6" x14ac:dyDescent="0.45">
      <c r="A28" s="20"/>
      <c r="B28" s="13"/>
      <c r="C28" s="13"/>
      <c r="D28" s="334" t="str">
        <f>FAKTUR!A30</f>
        <v>Bambang Solifian</v>
      </c>
      <c r="E28" s="334"/>
      <c r="F28" s="335"/>
    </row>
    <row r="29" spans="1:6" x14ac:dyDescent="0.45">
      <c r="A29" s="17"/>
      <c r="B29" s="18"/>
      <c r="C29" s="18"/>
      <c r="D29" s="18"/>
      <c r="E29" s="18"/>
      <c r="F29" s="19"/>
    </row>
  </sheetData>
  <mergeCells count="11">
    <mergeCell ref="C3:E3"/>
    <mergeCell ref="C6:E6"/>
    <mergeCell ref="D28:F28"/>
    <mergeCell ref="B11:E12"/>
    <mergeCell ref="B14:E16"/>
    <mergeCell ref="B18:E19"/>
    <mergeCell ref="B21:B22"/>
    <mergeCell ref="D22:F22"/>
    <mergeCell ref="A8:F8"/>
    <mergeCell ref="C4:E4"/>
    <mergeCell ref="C5:E5"/>
  </mergeCells>
  <pageMargins left="0.51181102362204722" right="0.51181102362204722" top="0.74803149606299213" bottom="0.74803149606299213" header="0.31496062992125984" footer="0.31496062992125984"/>
  <pageSetup paperSize="5" scale="85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8"/>
  <sheetViews>
    <sheetView view="pageBreakPreview" zoomScale="85" zoomScaleNormal="100" zoomScaleSheetLayoutView="85" workbookViewId="0">
      <selection activeCell="H25" sqref="H25"/>
    </sheetView>
  </sheetViews>
  <sheetFormatPr defaultColWidth="8.86328125" defaultRowHeight="14.25" x14ac:dyDescent="0.45"/>
  <cols>
    <col min="2" max="2" width="2" customWidth="1"/>
    <col min="3" max="3" width="9" customWidth="1"/>
    <col min="4" max="4" width="6.86328125" customWidth="1"/>
    <col min="5" max="5" width="5.86328125" customWidth="1"/>
    <col min="6" max="6" width="4.3984375" customWidth="1"/>
    <col min="7" max="7" width="6" customWidth="1"/>
    <col min="8" max="8" width="21.86328125" customWidth="1"/>
    <col min="9" max="9" width="17.73046875" customWidth="1"/>
    <col min="10" max="10" width="16.59765625" customWidth="1"/>
    <col min="11" max="11" width="0.265625" hidden="1" customWidth="1"/>
    <col min="12" max="12" width="17.265625" customWidth="1"/>
    <col min="13" max="13" width="1.3984375" customWidth="1"/>
    <col min="14" max="14" width="1.1328125" customWidth="1"/>
    <col min="15" max="15" width="14" customWidth="1"/>
  </cols>
  <sheetData>
    <row r="1" spans="1:13" ht="15.75" x14ac:dyDescent="0.5">
      <c r="C1" s="3"/>
    </row>
    <row r="2" spans="1:13" ht="15.75" customHeight="1" thickBot="1" x14ac:dyDescent="0.5">
      <c r="C2" s="2"/>
      <c r="J2" s="299" t="s">
        <v>62</v>
      </c>
      <c r="K2" s="299"/>
      <c r="L2" s="299"/>
      <c r="M2" s="299"/>
    </row>
    <row r="3" spans="1:13" ht="15.75" thickTop="1" x14ac:dyDescent="0.45">
      <c r="C3" s="1"/>
      <c r="J3" s="373" t="s">
        <v>4</v>
      </c>
      <c r="K3" s="374"/>
      <c r="L3" s="375" t="s">
        <v>61</v>
      </c>
      <c r="M3" s="376"/>
    </row>
    <row r="4" spans="1:13" x14ac:dyDescent="0.45">
      <c r="J4" s="377">
        <f>FAKTUR!L4</f>
        <v>46189</v>
      </c>
      <c r="K4" s="378"/>
      <c r="L4" s="379" t="s">
        <v>238</v>
      </c>
      <c r="M4" s="380"/>
    </row>
    <row r="5" spans="1:13" x14ac:dyDescent="0.45">
      <c r="J5" s="369" t="s">
        <v>5</v>
      </c>
      <c r="K5" s="370"/>
      <c r="L5" s="371" t="s">
        <v>19</v>
      </c>
      <c r="M5" s="372"/>
    </row>
    <row r="6" spans="1:13" x14ac:dyDescent="0.45">
      <c r="C6" s="295"/>
      <c r="D6" s="295"/>
      <c r="E6" s="295"/>
      <c r="F6" s="295"/>
      <c r="G6" s="295"/>
      <c r="J6" s="381" t="s">
        <v>6</v>
      </c>
      <c r="K6" s="378"/>
      <c r="L6" s="383">
        <f>FAKTUR!N6</f>
        <v>46189</v>
      </c>
      <c r="M6" s="380"/>
    </row>
    <row r="7" spans="1:13" x14ac:dyDescent="0.45">
      <c r="J7" s="369" t="s">
        <v>7</v>
      </c>
      <c r="K7" s="370"/>
      <c r="L7" s="371" t="s">
        <v>9</v>
      </c>
      <c r="M7" s="372"/>
    </row>
    <row r="8" spans="1:13" ht="14.65" thickBot="1" x14ac:dyDescent="0.5">
      <c r="A8" s="367" t="s">
        <v>2</v>
      </c>
      <c r="B8" s="367" t="s">
        <v>1</v>
      </c>
      <c r="C8" s="368" t="s">
        <v>227</v>
      </c>
      <c r="D8" s="368"/>
      <c r="E8" s="368"/>
      <c r="F8" s="368"/>
      <c r="G8" s="368"/>
      <c r="J8" s="384" t="s">
        <v>8</v>
      </c>
      <c r="K8" s="385"/>
      <c r="L8" s="386" t="s">
        <v>10</v>
      </c>
      <c r="M8" s="387"/>
    </row>
    <row r="9" spans="1:13" ht="14.65" thickTop="1" x14ac:dyDescent="0.45">
      <c r="A9" s="367"/>
      <c r="B9" s="367"/>
      <c r="C9" s="368"/>
      <c r="D9" s="368"/>
      <c r="E9" s="368"/>
      <c r="F9" s="368"/>
      <c r="G9" s="368"/>
      <c r="L9" s="4"/>
      <c r="M9" s="4"/>
    </row>
    <row r="10" spans="1:13" x14ac:dyDescent="0.45">
      <c r="C10" t="s">
        <v>228</v>
      </c>
    </row>
    <row r="12" spans="1:13" x14ac:dyDescent="0.45">
      <c r="A12" s="249" t="s">
        <v>64</v>
      </c>
      <c r="B12" s="249"/>
      <c r="C12" s="249"/>
      <c r="D12" s="249"/>
      <c r="E12" s="49" t="s">
        <v>12</v>
      </c>
      <c r="F12" s="249" t="s">
        <v>39</v>
      </c>
      <c r="G12" s="249"/>
      <c r="H12" s="72" t="s">
        <v>86</v>
      </c>
      <c r="I12" s="72" t="s">
        <v>69</v>
      </c>
      <c r="J12" s="72" t="s">
        <v>78</v>
      </c>
      <c r="K12" s="72" t="s">
        <v>85</v>
      </c>
      <c r="L12" s="72" t="s">
        <v>65</v>
      </c>
    </row>
    <row r="13" spans="1:13" x14ac:dyDescent="0.45">
      <c r="A13" s="366" t="str">
        <f>FAKTUR!A13</f>
        <v>glass cleaner</v>
      </c>
      <c r="B13" s="366"/>
      <c r="C13" s="366"/>
      <c r="D13" s="366"/>
      <c r="E13" s="80">
        <f>FAKTUR!E13</f>
        <v>15</v>
      </c>
      <c r="F13" s="365" t="str">
        <f>HPS!G17</f>
        <v>liter</v>
      </c>
      <c r="G13" s="365"/>
      <c r="H13" s="83" t="str">
        <f>HPS!H17</f>
        <v>cair</v>
      </c>
      <c r="I13" s="177">
        <f>HPS!I17</f>
        <v>16000</v>
      </c>
      <c r="J13" s="177">
        <f>I13*E13</f>
        <v>240000</v>
      </c>
      <c r="K13" s="84">
        <f>J13*0.1</f>
        <v>24000</v>
      </c>
      <c r="L13" s="177">
        <f>HPS!J17</f>
        <v>240000</v>
      </c>
    </row>
    <row r="14" spans="1:13" ht="28.5" x14ac:dyDescent="0.45">
      <c r="A14" s="366" t="str">
        <f>FAKTUR!A14</f>
        <v>dust cleaner</v>
      </c>
      <c r="B14" s="366"/>
      <c r="C14" s="366"/>
      <c r="D14" s="366"/>
      <c r="E14" s="80">
        <f>FAKTUR!E14</f>
        <v>3</v>
      </c>
      <c r="F14" s="365" t="str">
        <f>HPS!G18</f>
        <v>galon</v>
      </c>
      <c r="G14" s="365"/>
      <c r="H14" s="83" t="str">
        <f>HPS!H18</f>
        <v>cairan minyak pembersih keramik</v>
      </c>
      <c r="I14" s="177">
        <f>HPS!I18</f>
        <v>185000</v>
      </c>
      <c r="J14" s="177">
        <f t="shared" ref="J14:J20" si="0">I14*E14</f>
        <v>555000</v>
      </c>
      <c r="K14" s="84"/>
      <c r="L14" s="177">
        <f>HPS!J18</f>
        <v>555000</v>
      </c>
    </row>
    <row r="15" spans="1:13" x14ac:dyDescent="0.45">
      <c r="A15" s="366" t="str">
        <f>FAKTUR!A15</f>
        <v>karbol</v>
      </c>
      <c r="B15" s="366"/>
      <c r="C15" s="366"/>
      <c r="D15" s="366"/>
      <c r="E15" s="80">
        <f>FAKTUR!E15</f>
        <v>5</v>
      </c>
      <c r="F15" s="365" t="str">
        <f>HPS!G19</f>
        <v>botol</v>
      </c>
      <c r="G15" s="365"/>
      <c r="H15" s="83" t="str">
        <f>HPS!H19</f>
        <v>800 ml wangi</v>
      </c>
      <c r="I15" s="177">
        <f>HPS!I19</f>
        <v>23000</v>
      </c>
      <c r="J15" s="177">
        <f t="shared" si="0"/>
        <v>115000</v>
      </c>
      <c r="K15" s="84"/>
      <c r="L15" s="177">
        <f>HPS!J19</f>
        <v>115000</v>
      </c>
    </row>
    <row r="16" spans="1:13" x14ac:dyDescent="0.45">
      <c r="A16" s="366" t="str">
        <f>FAKTUR!A16</f>
        <v>sabun cuci piring</v>
      </c>
      <c r="B16" s="366"/>
      <c r="C16" s="366"/>
      <c r="D16" s="366"/>
      <c r="E16" s="80">
        <f>FAKTUR!E16</f>
        <v>3</v>
      </c>
      <c r="F16" s="365" t="str">
        <f>HPS!G20</f>
        <v>jerigen</v>
      </c>
      <c r="G16" s="365"/>
      <c r="H16" s="83" t="str">
        <f>HPS!H20</f>
        <v>3,7 liter</v>
      </c>
      <c r="I16" s="177">
        <f>HPS!I20</f>
        <v>79000</v>
      </c>
      <c r="J16" s="177">
        <f t="shared" si="0"/>
        <v>237000</v>
      </c>
      <c r="K16" s="84"/>
      <c r="L16" s="177">
        <f>HPS!J20</f>
        <v>237000</v>
      </c>
    </row>
    <row r="17" spans="1:15" x14ac:dyDescent="0.45">
      <c r="A17" s="366" t="str">
        <f>FAKTUR!A17</f>
        <v>pembersih  porselin</v>
      </c>
      <c r="B17" s="366"/>
      <c r="C17" s="366"/>
      <c r="D17" s="366"/>
      <c r="E17" s="80">
        <f>FAKTUR!E17</f>
        <v>3</v>
      </c>
      <c r="F17" s="365" t="str">
        <f>HPS!G21</f>
        <v>galon</v>
      </c>
      <c r="G17" s="365"/>
      <c r="H17" s="83" t="str">
        <f>HPS!H21</f>
        <v>isi 4 ltr</v>
      </c>
      <c r="I17" s="177">
        <f>HPS!I21</f>
        <v>106000</v>
      </c>
      <c r="J17" s="177">
        <f t="shared" si="0"/>
        <v>318000</v>
      </c>
      <c r="K17" s="84"/>
      <c r="L17" s="177">
        <f>HPS!J21</f>
        <v>318000</v>
      </c>
    </row>
    <row r="18" spans="1:15" ht="13.9" customHeight="1" x14ac:dyDescent="0.45">
      <c r="A18" s="366" t="str">
        <f>FAKTUR!A18</f>
        <v>sabun cuci tangan cair</v>
      </c>
      <c r="B18" s="366"/>
      <c r="C18" s="366"/>
      <c r="D18" s="366"/>
      <c r="E18" s="80">
        <f>FAKTUR!E18</f>
        <v>6</v>
      </c>
      <c r="F18" s="365" t="str">
        <f>HPS!G22</f>
        <v>liter</v>
      </c>
      <c r="G18" s="365"/>
      <c r="H18" s="83" t="str">
        <f>HPS!H22</f>
        <v>kemasan botol isi 1 ltr</v>
      </c>
      <c r="I18" s="177">
        <f>HPS!I22</f>
        <v>45000</v>
      </c>
      <c r="J18" s="177">
        <f t="shared" si="0"/>
        <v>270000</v>
      </c>
      <c r="K18" s="84"/>
      <c r="L18" s="177">
        <f>HPS!J22</f>
        <v>270000</v>
      </c>
    </row>
    <row r="19" spans="1:15" x14ac:dyDescent="0.45">
      <c r="A19" s="366" t="str">
        <f>FAKTUR!A19</f>
        <v>kamper</v>
      </c>
      <c r="B19" s="366"/>
      <c r="C19" s="366"/>
      <c r="D19" s="366"/>
      <c r="E19" s="80">
        <f>FAKTUR!E19</f>
        <v>5</v>
      </c>
      <c r="F19" s="365" t="str">
        <f>HPS!G23</f>
        <v>bungkus</v>
      </c>
      <c r="G19" s="365"/>
      <c r="H19" s="83" t="str">
        <f>HPS!H23</f>
        <v>warna</v>
      </c>
      <c r="I19" s="177">
        <f>HPS!I23</f>
        <v>64000</v>
      </c>
      <c r="J19" s="177">
        <f t="shared" si="0"/>
        <v>320000</v>
      </c>
      <c r="K19" s="84"/>
      <c r="L19" s="177">
        <f>HPS!J23</f>
        <v>320000</v>
      </c>
    </row>
    <row r="20" spans="1:15" x14ac:dyDescent="0.45">
      <c r="A20" s="366" t="str">
        <f>FAKTUR!A20</f>
        <v>pengharum kloset</v>
      </c>
      <c r="B20" s="366"/>
      <c r="C20" s="366"/>
      <c r="D20" s="366"/>
      <c r="E20" s="80">
        <f>FAKTUR!E20</f>
        <v>10</v>
      </c>
      <c r="F20" s="365" t="str">
        <f>HPS!G24</f>
        <v>buah</v>
      </c>
      <c r="G20" s="365"/>
      <c r="H20" s="83" t="str">
        <f>HPS!H24</f>
        <v>standar Sni</v>
      </c>
      <c r="I20" s="177">
        <f>HPS!I24</f>
        <v>23000</v>
      </c>
      <c r="J20" s="177">
        <f t="shared" si="0"/>
        <v>230000</v>
      </c>
      <c r="K20" s="84"/>
      <c r="L20" s="177">
        <f>HPS!J24</f>
        <v>230000</v>
      </c>
      <c r="M20" s="70"/>
      <c r="N20" s="70"/>
      <c r="O20" s="48"/>
    </row>
    <row r="21" spans="1:15" x14ac:dyDescent="0.45">
      <c r="A21" s="366"/>
      <c r="B21" s="366"/>
      <c r="C21" s="366"/>
      <c r="D21" s="366"/>
      <c r="E21" s="80"/>
      <c r="F21" s="365"/>
      <c r="G21" s="365"/>
      <c r="H21" s="83"/>
      <c r="I21" s="177"/>
      <c r="J21" s="177"/>
      <c r="K21" s="179"/>
      <c r="L21" s="84"/>
      <c r="M21" s="70"/>
      <c r="N21" s="70"/>
      <c r="O21" s="48"/>
    </row>
    <row r="22" spans="1:15" x14ac:dyDescent="0.45">
      <c r="A22" s="382" t="s">
        <v>63</v>
      </c>
      <c r="B22" s="382"/>
      <c r="C22" s="382"/>
      <c r="I22" s="382" t="s">
        <v>17</v>
      </c>
      <c r="J22" s="382"/>
      <c r="K22" s="382"/>
      <c r="L22" s="382"/>
    </row>
    <row r="23" spans="1:15" x14ac:dyDescent="0.45">
      <c r="A23" s="74"/>
      <c r="B23" s="74"/>
      <c r="C23" s="74"/>
      <c r="J23" s="74"/>
      <c r="K23" s="74"/>
    </row>
    <row r="24" spans="1:15" x14ac:dyDescent="0.45">
      <c r="A24" s="74"/>
      <c r="B24" s="74"/>
      <c r="C24" s="74"/>
      <c r="J24" s="74"/>
      <c r="K24" s="74"/>
    </row>
    <row r="25" spans="1:15" x14ac:dyDescent="0.45">
      <c r="A25" s="74"/>
      <c r="B25" s="74"/>
      <c r="C25" s="74"/>
      <c r="J25" s="74"/>
      <c r="K25" s="74"/>
    </row>
    <row r="26" spans="1:15" x14ac:dyDescent="0.45">
      <c r="A26" s="74"/>
      <c r="B26" s="74"/>
      <c r="C26" s="74"/>
      <c r="J26" s="74"/>
      <c r="K26" s="74"/>
    </row>
    <row r="27" spans="1:15" x14ac:dyDescent="0.45">
      <c r="A27" s="74"/>
      <c r="B27" s="74"/>
      <c r="C27" s="74"/>
      <c r="J27" s="74"/>
      <c r="K27" s="74"/>
    </row>
    <row r="28" spans="1:15" ht="14.65" thickBot="1" x14ac:dyDescent="0.5">
      <c r="A28" s="331"/>
      <c r="B28" s="331"/>
      <c r="C28" s="331"/>
      <c r="I28" s="81"/>
      <c r="J28" s="81"/>
      <c r="K28" s="81"/>
      <c r="L28" s="81"/>
    </row>
  </sheetData>
  <mergeCells count="40">
    <mergeCell ref="C6:G6"/>
    <mergeCell ref="J6:K6"/>
    <mergeCell ref="A22:C22"/>
    <mergeCell ref="I22:L22"/>
    <mergeCell ref="A13:D13"/>
    <mergeCell ref="F13:G13"/>
    <mergeCell ref="A18:D18"/>
    <mergeCell ref="A19:D19"/>
    <mergeCell ref="F18:G18"/>
    <mergeCell ref="F19:G19"/>
    <mergeCell ref="L6:M6"/>
    <mergeCell ref="J7:K7"/>
    <mergeCell ref="L7:M7"/>
    <mergeCell ref="J8:K8"/>
    <mergeCell ref="L8:M8"/>
    <mergeCell ref="A20:D20"/>
    <mergeCell ref="J5:K5"/>
    <mergeCell ref="L5:M5"/>
    <mergeCell ref="J2:M2"/>
    <mergeCell ref="J3:K3"/>
    <mergeCell ref="L3:M3"/>
    <mergeCell ref="J4:K4"/>
    <mergeCell ref="L4:M4"/>
    <mergeCell ref="A8:A9"/>
    <mergeCell ref="B8:B9"/>
    <mergeCell ref="C8:G9"/>
    <mergeCell ref="A12:D12"/>
    <mergeCell ref="F12:G12"/>
    <mergeCell ref="F21:G21"/>
    <mergeCell ref="A21:D21"/>
    <mergeCell ref="A28:C28"/>
    <mergeCell ref="A14:D14"/>
    <mergeCell ref="A15:D15"/>
    <mergeCell ref="A16:D16"/>
    <mergeCell ref="A17:D17"/>
    <mergeCell ref="F20:G20"/>
    <mergeCell ref="F14:G14"/>
    <mergeCell ref="F15:G15"/>
    <mergeCell ref="F16:G16"/>
    <mergeCell ref="F17:G17"/>
  </mergeCells>
  <pageMargins left="0.59" right="0.78740157480314965" top="0.74803149606299213" bottom="0.74803149606299213" header="0.31496062992125984" footer="0.31496062992125984"/>
  <pageSetup paperSize="10000" scale="74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65"/>
  <sheetViews>
    <sheetView tabSelected="1" view="pageBreakPreview" zoomScale="70" zoomScaleNormal="100" zoomScaleSheetLayoutView="70" workbookViewId="0">
      <selection activeCell="B11" sqref="B11"/>
    </sheetView>
  </sheetViews>
  <sheetFormatPr defaultRowHeight="14.25" x14ac:dyDescent="0.45"/>
  <cols>
    <col min="1" max="1" width="5.1328125" customWidth="1"/>
    <col min="2" max="2" width="12.1328125" bestFit="1" customWidth="1"/>
    <col min="3" max="3" width="2.265625" customWidth="1"/>
    <col min="6" max="6" width="25.73046875" customWidth="1"/>
    <col min="7" max="7" width="4.3984375" customWidth="1"/>
    <col min="8" max="8" width="8.3984375" customWidth="1"/>
    <col min="9" max="9" width="20.73046875" customWidth="1"/>
    <col min="10" max="10" width="4.3984375" customWidth="1"/>
    <col min="11" max="11" width="12.265625" customWidth="1"/>
  </cols>
  <sheetData>
    <row r="1" spans="1:11" ht="17.25" x14ac:dyDescent="0.45">
      <c r="A1" s="233" t="s">
        <v>52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</row>
    <row r="2" spans="1:11" ht="17.25" x14ac:dyDescent="0.45">
      <c r="A2" s="233" t="str">
        <f>HPS!A2</f>
        <v>DINAS PENDIDIKAN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</row>
    <row r="3" spans="1:11" ht="17.25" x14ac:dyDescent="0.45">
      <c r="A3" s="233" t="str">
        <f>HPS!A3</f>
        <v>SEKOLAH DASAR NEGERI KEBON KOSONG 09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</row>
    <row r="4" spans="1:11" ht="17.25" x14ac:dyDescent="0.45">
      <c r="A4" s="233" t="str">
        <f>HPS!A4</f>
        <v>Jl. Kemayoran Gempol no.32 RT 015.05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</row>
    <row r="5" spans="1:11" ht="17.25" x14ac:dyDescent="0.45">
      <c r="A5" s="233"/>
      <c r="B5" s="233"/>
      <c r="C5" s="233"/>
      <c r="D5" s="233"/>
      <c r="E5" s="233"/>
      <c r="F5" s="233"/>
      <c r="G5" s="233"/>
      <c r="H5" s="233"/>
      <c r="I5" s="233"/>
      <c r="J5" s="233"/>
      <c r="K5" s="233"/>
    </row>
    <row r="6" spans="1:11" ht="14.65" thickBot="1" x14ac:dyDescent="0.5">
      <c r="A6" s="54"/>
      <c r="B6" s="54"/>
      <c r="C6" s="54"/>
      <c r="D6" s="232" t="str">
        <f>HPS!D5</f>
        <v xml:space="preserve">       Jakarta Pusat 10630 email :sdnkk05pg@gmail.com</v>
      </c>
      <c r="E6" s="232"/>
      <c r="F6" s="232"/>
      <c r="G6" s="232"/>
      <c r="H6" s="232"/>
      <c r="I6" s="232"/>
      <c r="J6" s="232"/>
      <c r="K6" s="232"/>
    </row>
    <row r="7" spans="1:11" ht="14.65" thickTop="1" x14ac:dyDescent="0.45"/>
    <row r="8" spans="1:11" ht="22.5" x14ac:dyDescent="0.45">
      <c r="A8" s="227" t="s">
        <v>79</v>
      </c>
      <c r="B8" s="227"/>
      <c r="C8" s="227"/>
      <c r="D8" s="227"/>
      <c r="E8" s="227"/>
      <c r="F8" s="227"/>
      <c r="G8" s="227"/>
      <c r="H8" s="227"/>
      <c r="I8" s="227"/>
      <c r="J8" s="227"/>
      <c r="K8" s="227"/>
    </row>
    <row r="9" spans="1:11" ht="15" x14ac:dyDescent="0.45">
      <c r="A9" s="228" t="s">
        <v>178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</row>
    <row r="10" spans="1:11" ht="15" x14ac:dyDescent="0.45">
      <c r="A10" s="7"/>
      <c r="B10" s="52"/>
      <c r="C10" s="52"/>
      <c r="D10" s="52"/>
      <c r="E10" s="29"/>
      <c r="F10" s="29"/>
      <c r="G10" s="29"/>
      <c r="H10" s="29"/>
      <c r="I10" s="29"/>
      <c r="J10" s="52"/>
      <c r="K10" s="52"/>
    </row>
    <row r="11" spans="1:11" ht="15" x14ac:dyDescent="0.45">
      <c r="A11" s="33"/>
      <c r="B11" s="205" t="s">
        <v>253</v>
      </c>
      <c r="C11" s="32"/>
      <c r="D11" s="31"/>
      <c r="E11" s="31"/>
      <c r="F11" s="31"/>
      <c r="G11" s="31"/>
      <c r="H11" s="31"/>
      <c r="I11" s="31"/>
      <c r="J11" s="31"/>
      <c r="K11" s="31"/>
    </row>
    <row r="12" spans="1:11" ht="15" x14ac:dyDescent="0.45">
      <c r="A12" s="33"/>
      <c r="B12" s="205" t="s">
        <v>31</v>
      </c>
      <c r="C12" s="32" t="s">
        <v>1</v>
      </c>
      <c r="D12" s="32" t="s">
        <v>247</v>
      </c>
      <c r="E12" s="31"/>
      <c r="F12" s="31"/>
      <c r="G12" s="31"/>
      <c r="H12" s="31"/>
      <c r="I12" s="31"/>
      <c r="J12" s="31"/>
      <c r="K12" s="31"/>
    </row>
    <row r="13" spans="1:11" ht="15" x14ac:dyDescent="0.45">
      <c r="A13" s="33"/>
      <c r="B13" s="205" t="s">
        <v>32</v>
      </c>
      <c r="C13" s="32" t="s">
        <v>1</v>
      </c>
      <c r="D13" s="32" t="s">
        <v>249</v>
      </c>
      <c r="E13" s="31"/>
      <c r="F13" s="31"/>
      <c r="G13" s="31"/>
      <c r="H13" s="31"/>
      <c r="I13" s="31"/>
      <c r="J13" s="31"/>
      <c r="K13" s="31" t="s">
        <v>206</v>
      </c>
    </row>
    <row r="14" spans="1:11" ht="15" x14ac:dyDescent="0.45">
      <c r="A14" s="33"/>
      <c r="B14" s="205" t="s">
        <v>177</v>
      </c>
      <c r="C14" s="32" t="s">
        <v>44</v>
      </c>
      <c r="D14" s="220" t="s">
        <v>248</v>
      </c>
      <c r="E14" s="31"/>
      <c r="F14" s="31"/>
      <c r="G14" s="31"/>
      <c r="H14" s="31"/>
      <c r="I14" s="31"/>
      <c r="J14" s="31"/>
      <c r="K14" s="31"/>
    </row>
    <row r="15" spans="1:11" ht="15" x14ac:dyDescent="0.45">
      <c r="A15" s="33"/>
      <c r="B15" s="205" t="s">
        <v>36</v>
      </c>
      <c r="C15" s="32" t="s">
        <v>1</v>
      </c>
      <c r="D15" s="32" t="str">
        <f>'SURAT NEGOSIASI (2)'!$D$17</f>
        <v>SDN Kebon Kosong 09</v>
      </c>
      <c r="E15" s="31"/>
      <c r="F15" s="31"/>
      <c r="G15" s="31"/>
      <c r="H15" s="31"/>
      <c r="I15" s="31"/>
      <c r="J15" s="31"/>
      <c r="K15" s="31"/>
    </row>
    <row r="16" spans="1:11" ht="15" x14ac:dyDescent="0.45">
      <c r="A16" s="33"/>
      <c r="B16" s="205" t="s">
        <v>34</v>
      </c>
      <c r="C16" s="32" t="s">
        <v>1</v>
      </c>
      <c r="D16" s="32" t="str">
        <f>'SURAT NEGOSIASI (2)'!$D$18</f>
        <v>Jl. Kemayoran Gempol no.32</v>
      </c>
      <c r="E16" s="31"/>
      <c r="F16" s="33"/>
      <c r="G16" s="33"/>
      <c r="H16" s="33"/>
      <c r="I16" s="33"/>
      <c r="J16" s="33"/>
      <c r="K16" s="33"/>
    </row>
    <row r="17" spans="1:11" x14ac:dyDescent="0.45">
      <c r="A17" s="33"/>
      <c r="B17" s="31"/>
      <c r="C17" s="31"/>
      <c r="D17" s="32"/>
      <c r="E17" s="31"/>
      <c r="F17" s="33"/>
      <c r="G17" s="33"/>
      <c r="H17" s="33"/>
      <c r="I17" s="33"/>
      <c r="J17" s="33"/>
      <c r="K17" s="33"/>
    </row>
    <row r="18" spans="1:11" ht="15.4" x14ac:dyDescent="0.45">
      <c r="A18" s="33"/>
      <c r="B18" s="205" t="s">
        <v>239</v>
      </c>
      <c r="C18" s="205"/>
      <c r="D18" s="215"/>
      <c r="F18" s="31"/>
      <c r="G18" s="31"/>
      <c r="H18" s="31"/>
      <c r="I18" s="31"/>
      <c r="J18" s="31"/>
      <c r="K18" s="31"/>
    </row>
    <row r="19" spans="1:11" ht="15.4" x14ac:dyDescent="0.45">
      <c r="A19" s="33"/>
      <c r="B19" s="205"/>
      <c r="C19" s="205"/>
      <c r="D19" s="215"/>
      <c r="F19" s="31"/>
      <c r="G19" s="31"/>
      <c r="H19" s="31"/>
      <c r="I19" s="31"/>
      <c r="J19" s="31"/>
      <c r="K19" s="31"/>
    </row>
    <row r="20" spans="1:11" ht="15" x14ac:dyDescent="0.45">
      <c r="A20" s="33"/>
      <c r="B20" s="205" t="s">
        <v>31</v>
      </c>
      <c r="C20" s="205" t="s">
        <v>1</v>
      </c>
      <c r="D20" s="205" t="str">
        <f>'SURAT NEGOSIASI (2)'!$D$22</f>
        <v>Bambang Solifian</v>
      </c>
      <c r="G20" s="33"/>
    </row>
    <row r="21" spans="1:11" ht="15" x14ac:dyDescent="0.45">
      <c r="A21" s="33"/>
      <c r="B21" s="205" t="s">
        <v>32</v>
      </c>
      <c r="C21" s="205" t="s">
        <v>1</v>
      </c>
      <c r="D21" s="205" t="str">
        <f>'SURAT NEGOSIASI (2)'!$D$23</f>
        <v>Direktur</v>
      </c>
      <c r="G21" s="31"/>
    </row>
    <row r="22" spans="1:11" ht="15" x14ac:dyDescent="0.45">
      <c r="A22" s="33"/>
      <c r="B22" s="205" t="s">
        <v>33</v>
      </c>
      <c r="C22" s="205" t="s">
        <v>1</v>
      </c>
      <c r="D22" s="205" t="str">
        <f>'SURAT NEGOSIASI (2)'!$D$24</f>
        <v>CV. PUSTAKA CEMERLANG INDONESIA</v>
      </c>
      <c r="G22" s="31"/>
    </row>
    <row r="23" spans="1:11" ht="15" x14ac:dyDescent="0.45">
      <c r="A23" s="33"/>
      <c r="B23" s="205" t="s">
        <v>34</v>
      </c>
      <c r="C23" s="205" t="s">
        <v>1</v>
      </c>
      <c r="D23" s="205" t="str">
        <f>'SURAT NEGOSIASI (2)'!$D$25</f>
        <v>Wisma Mitra Sunter 3-03</v>
      </c>
      <c r="G23" s="31"/>
    </row>
    <row r="24" spans="1:11" ht="15.4" x14ac:dyDescent="0.45">
      <c r="A24" s="33"/>
      <c r="B24" s="204"/>
      <c r="C24" s="204"/>
      <c r="D24" s="205" t="str">
        <f>'SURAT NEGOSIASI (2)'!$D$26</f>
        <v>Jl. Yos Sudarso Kav. 89, Boulevard Mitra Sunter Blok C2, Sunter Jaya, Tanjung Priok</v>
      </c>
      <c r="G24" s="31"/>
      <c r="H24" s="31"/>
      <c r="I24" s="31"/>
      <c r="J24" s="31"/>
      <c r="K24" s="31"/>
    </row>
    <row r="25" spans="1:11" x14ac:dyDescent="0.45">
      <c r="A25" s="33"/>
      <c r="G25" s="31"/>
      <c r="H25" s="31"/>
      <c r="I25" s="31"/>
      <c r="J25" s="31"/>
      <c r="K25" s="31"/>
    </row>
    <row r="26" spans="1:11" ht="15" x14ac:dyDescent="0.45">
      <c r="A26" s="33"/>
      <c r="B26" s="216" t="s">
        <v>240</v>
      </c>
      <c r="C26" s="33"/>
      <c r="D26" s="33"/>
      <c r="E26" s="33"/>
      <c r="F26" s="33"/>
      <c r="G26" s="33"/>
      <c r="H26" s="33"/>
      <c r="I26" s="33"/>
      <c r="J26" s="33"/>
      <c r="K26" s="33"/>
    </row>
    <row r="27" spans="1:11" ht="15.4" x14ac:dyDescent="0.45">
      <c r="A27" s="33"/>
      <c r="B27" s="217" t="s">
        <v>241</v>
      </c>
      <c r="C27" s="32"/>
      <c r="D27" s="31"/>
      <c r="E27" s="31"/>
      <c r="F27" s="31"/>
      <c r="G27" s="31"/>
      <c r="H27" s="31"/>
      <c r="I27" s="31"/>
      <c r="J27" s="31"/>
      <c r="K27" s="31"/>
    </row>
    <row r="28" spans="1:11" ht="15" x14ac:dyDescent="0.45">
      <c r="A28" s="33"/>
      <c r="B28" s="205" t="s">
        <v>242</v>
      </c>
      <c r="C28" s="31"/>
      <c r="D28" s="31"/>
      <c r="E28" s="31"/>
      <c r="F28" s="31"/>
      <c r="G28" s="31"/>
      <c r="H28" s="31"/>
      <c r="I28" s="31"/>
      <c r="J28" s="31"/>
      <c r="K28" s="31"/>
    </row>
    <row r="29" spans="1:11" ht="15" x14ac:dyDescent="0.45">
      <c r="A29" s="33"/>
      <c r="B29" s="205" t="s">
        <v>243</v>
      </c>
      <c r="C29" s="33"/>
      <c r="D29" s="33"/>
      <c r="E29" s="33"/>
      <c r="F29" s="33"/>
      <c r="G29" s="33"/>
      <c r="H29" s="33"/>
      <c r="I29" s="33"/>
      <c r="J29" s="33"/>
      <c r="K29" s="33"/>
    </row>
    <row r="30" spans="1:11" x14ac:dyDescent="0.45">
      <c r="A30" s="33"/>
      <c r="B30" s="33"/>
      <c r="C30" s="63"/>
      <c r="D30" s="63"/>
      <c r="E30" s="63"/>
      <c r="F30" s="63"/>
      <c r="G30" s="63"/>
      <c r="H30" s="63"/>
      <c r="I30" s="63"/>
      <c r="J30" s="63"/>
      <c r="K30" s="63"/>
    </row>
    <row r="31" spans="1:11" ht="15" x14ac:dyDescent="0.45">
      <c r="A31" s="33"/>
      <c r="B31" s="213" t="s">
        <v>21</v>
      </c>
      <c r="C31" s="229" t="s">
        <v>71</v>
      </c>
      <c r="D31" s="229"/>
      <c r="E31" s="229"/>
      <c r="F31" s="229"/>
      <c r="G31" s="230" t="s">
        <v>72</v>
      </c>
      <c r="H31" s="231"/>
      <c r="I31" s="225" t="s">
        <v>90</v>
      </c>
      <c r="J31" s="226"/>
      <c r="K31" s="64"/>
    </row>
    <row r="32" spans="1:11" ht="27.75" customHeight="1" x14ac:dyDescent="0.45">
      <c r="A32" s="33"/>
      <c r="B32" s="97">
        <v>1</v>
      </c>
      <c r="C32" s="222" t="str">
        <f>HPS!C17</f>
        <v>glass cleaner</v>
      </c>
      <c r="D32" s="223"/>
      <c r="E32" s="223"/>
      <c r="F32" s="224"/>
      <c r="G32" s="214">
        <f>HPS!F17</f>
        <v>15</v>
      </c>
      <c r="H32" s="97" t="str">
        <f>HPS!G17</f>
        <v>liter</v>
      </c>
      <c r="I32" s="225" t="s">
        <v>104</v>
      </c>
      <c r="J32" s="226"/>
      <c r="K32" s="65"/>
    </row>
    <row r="33" spans="1:11" ht="27.75" customHeight="1" x14ac:dyDescent="0.45">
      <c r="A33" s="33"/>
      <c r="B33" s="97">
        <v>2</v>
      </c>
      <c r="C33" s="222" t="str">
        <f>HPS!C18</f>
        <v>dust cleaner</v>
      </c>
      <c r="D33" s="223"/>
      <c r="E33" s="223"/>
      <c r="F33" s="224"/>
      <c r="G33" s="214">
        <f>HPS!F18</f>
        <v>3</v>
      </c>
      <c r="H33" s="97" t="str">
        <f>HPS!G18</f>
        <v>galon</v>
      </c>
      <c r="I33" s="225" t="s">
        <v>104</v>
      </c>
      <c r="J33" s="226"/>
      <c r="K33" s="65"/>
    </row>
    <row r="34" spans="1:11" ht="27.75" customHeight="1" x14ac:dyDescent="0.45">
      <c r="A34" s="33"/>
      <c r="B34" s="97">
        <v>3</v>
      </c>
      <c r="C34" s="222" t="str">
        <f>HPS!C19</f>
        <v>karbol</v>
      </c>
      <c r="D34" s="223"/>
      <c r="E34" s="223"/>
      <c r="F34" s="224"/>
      <c r="G34" s="214">
        <f>HPS!F19</f>
        <v>5</v>
      </c>
      <c r="H34" s="97" t="str">
        <f>HPS!G19</f>
        <v>botol</v>
      </c>
      <c r="I34" s="225" t="s">
        <v>104</v>
      </c>
      <c r="J34" s="226"/>
      <c r="K34" s="65"/>
    </row>
    <row r="35" spans="1:11" ht="27.75" customHeight="1" x14ac:dyDescent="0.45">
      <c r="A35" s="33"/>
      <c r="B35" s="97">
        <v>4</v>
      </c>
      <c r="C35" s="222" t="str">
        <f>HPS!C20</f>
        <v>sabun cuci piring</v>
      </c>
      <c r="D35" s="223"/>
      <c r="E35" s="223"/>
      <c r="F35" s="224"/>
      <c r="G35" s="214">
        <f>HPS!F20</f>
        <v>3</v>
      </c>
      <c r="H35" s="97" t="str">
        <f>HPS!G20</f>
        <v>jerigen</v>
      </c>
      <c r="I35" s="225" t="s">
        <v>104</v>
      </c>
      <c r="J35" s="226"/>
      <c r="K35" s="65"/>
    </row>
    <row r="36" spans="1:11" ht="27.75" customHeight="1" x14ac:dyDescent="0.45">
      <c r="A36" s="33"/>
      <c r="B36" s="97">
        <v>5</v>
      </c>
      <c r="C36" s="222" t="str">
        <f>HPS!C21</f>
        <v>pembersih  porselin</v>
      </c>
      <c r="D36" s="223"/>
      <c r="E36" s="223"/>
      <c r="F36" s="224"/>
      <c r="G36" s="214">
        <f>HPS!F21</f>
        <v>3</v>
      </c>
      <c r="H36" s="97" t="str">
        <f>HPS!G21</f>
        <v>galon</v>
      </c>
      <c r="I36" s="225" t="s">
        <v>104</v>
      </c>
      <c r="J36" s="226"/>
      <c r="K36" s="65"/>
    </row>
    <row r="37" spans="1:11" ht="27.75" customHeight="1" x14ac:dyDescent="0.45">
      <c r="A37" s="33"/>
      <c r="B37" s="97">
        <v>6</v>
      </c>
      <c r="C37" s="222" t="str">
        <f>HPS!C22</f>
        <v>sabun cuci tangan cair</v>
      </c>
      <c r="D37" s="223"/>
      <c r="E37" s="223"/>
      <c r="F37" s="224"/>
      <c r="G37" s="214">
        <f>HPS!F22</f>
        <v>6</v>
      </c>
      <c r="H37" s="97" t="str">
        <f>HPS!G22</f>
        <v>liter</v>
      </c>
      <c r="I37" s="225" t="s">
        <v>104</v>
      </c>
      <c r="J37" s="226"/>
      <c r="K37" s="65"/>
    </row>
    <row r="38" spans="1:11" ht="27.75" customHeight="1" x14ac:dyDescent="0.45">
      <c r="A38" s="33"/>
      <c r="B38" s="97">
        <v>7</v>
      </c>
      <c r="C38" s="222" t="str">
        <f>HPS!C23</f>
        <v>kamper</v>
      </c>
      <c r="D38" s="223"/>
      <c r="E38" s="223"/>
      <c r="F38" s="224"/>
      <c r="G38" s="214">
        <f>HPS!F23</f>
        <v>5</v>
      </c>
      <c r="H38" s="97" t="str">
        <f>HPS!G23</f>
        <v>bungkus</v>
      </c>
      <c r="I38" s="225" t="s">
        <v>104</v>
      </c>
      <c r="J38" s="226"/>
      <c r="K38" s="65"/>
    </row>
    <row r="39" spans="1:11" ht="27.75" customHeight="1" x14ac:dyDescent="0.45">
      <c r="A39" s="33"/>
      <c r="B39" s="97">
        <v>8</v>
      </c>
      <c r="C39" s="222" t="str">
        <f>HPS!C24</f>
        <v>pengharum kloset</v>
      </c>
      <c r="D39" s="223"/>
      <c r="E39" s="223"/>
      <c r="F39" s="224"/>
      <c r="G39" s="214">
        <f>HPS!F24</f>
        <v>10</v>
      </c>
      <c r="H39" s="97" t="str">
        <f>HPS!G24</f>
        <v>buah</v>
      </c>
      <c r="I39" s="225" t="s">
        <v>104</v>
      </c>
      <c r="J39" s="226"/>
      <c r="K39" s="65"/>
    </row>
    <row r="40" spans="1:11" ht="15.75" x14ac:dyDescent="0.5">
      <c r="A40" s="33"/>
      <c r="B40" s="3"/>
      <c r="C40" s="3"/>
      <c r="D40" s="3"/>
      <c r="E40" s="3"/>
      <c r="F40" s="3"/>
      <c r="G40" s="3"/>
      <c r="H40" s="3"/>
      <c r="I40" s="3"/>
      <c r="J40" s="3"/>
    </row>
    <row r="41" spans="1:11" x14ac:dyDescent="0.45">
      <c r="A41" s="33"/>
      <c r="B41" s="66" t="s">
        <v>80</v>
      </c>
      <c r="C41" s="32"/>
      <c r="D41" s="32"/>
      <c r="E41" s="32"/>
      <c r="F41" s="32"/>
      <c r="G41" s="32"/>
      <c r="H41" s="7"/>
      <c r="I41" s="67"/>
    </row>
    <row r="42" spans="1:11" x14ac:dyDescent="0.45">
      <c r="A42" s="33"/>
      <c r="D42" s="32"/>
      <c r="E42" s="32"/>
      <c r="F42" s="32"/>
      <c r="G42" s="32"/>
      <c r="H42" s="7"/>
    </row>
    <row r="43" spans="1:11" x14ac:dyDescent="0.45">
      <c r="A43" s="33"/>
      <c r="B43" s="32" t="s">
        <v>43</v>
      </c>
      <c r="C43" s="32"/>
      <c r="D43" s="32"/>
      <c r="E43" s="32"/>
      <c r="F43" s="32"/>
      <c r="G43" s="32"/>
      <c r="H43" s="7"/>
      <c r="I43" s="67" t="s">
        <v>42</v>
      </c>
    </row>
    <row r="44" spans="1:11" x14ac:dyDescent="0.45">
      <c r="A44" s="33"/>
      <c r="B44" s="32"/>
      <c r="C44" s="32"/>
      <c r="D44" s="32"/>
      <c r="E44" s="32"/>
      <c r="F44" s="32"/>
      <c r="G44" s="32"/>
      <c r="H44" s="7"/>
      <c r="I44" s="51"/>
    </row>
    <row r="45" spans="1:11" x14ac:dyDescent="0.45">
      <c r="A45" s="33"/>
      <c r="B45" s="51"/>
      <c r="C45" s="51"/>
      <c r="D45" s="51"/>
      <c r="E45" s="32"/>
      <c r="F45" s="32"/>
      <c r="G45" s="32"/>
      <c r="H45" s="7"/>
      <c r="I45" s="7"/>
    </row>
    <row r="46" spans="1:11" x14ac:dyDescent="0.45">
      <c r="A46" s="33"/>
      <c r="B46" s="51"/>
      <c r="C46" s="51"/>
      <c r="D46" s="51"/>
      <c r="E46" s="32"/>
      <c r="F46" s="32"/>
      <c r="G46" s="32"/>
      <c r="H46" s="7"/>
      <c r="I46" s="7"/>
      <c r="J46" s="67"/>
      <c r="K46" s="67"/>
    </row>
    <row r="47" spans="1:11" x14ac:dyDescent="0.45">
      <c r="A47" s="33"/>
      <c r="B47" s="51"/>
      <c r="C47" s="38"/>
      <c r="D47" s="38"/>
      <c r="E47" s="32"/>
      <c r="F47" s="32"/>
      <c r="G47" s="32"/>
      <c r="H47" s="7"/>
      <c r="I47" s="82"/>
    </row>
    <row r="48" spans="1:11" x14ac:dyDescent="0.45">
      <c r="A48" s="7"/>
      <c r="C48" s="39"/>
      <c r="D48" s="30"/>
      <c r="E48" s="32"/>
      <c r="F48" s="32"/>
      <c r="G48" s="32"/>
      <c r="H48" s="32"/>
      <c r="J48" s="67"/>
      <c r="K48" s="67"/>
    </row>
    <row r="49" spans="1:11" x14ac:dyDescent="0.45">
      <c r="A49" s="7"/>
      <c r="B49" s="38" t="str">
        <f>D12</f>
        <v>Sulistiawati</v>
      </c>
      <c r="I49" s="67" t="str">
        <f>D20</f>
        <v>Bambang Solifian</v>
      </c>
      <c r="J49" s="51"/>
      <c r="K49" s="51"/>
    </row>
    <row r="50" spans="1:11" x14ac:dyDescent="0.45">
      <c r="A50" s="7"/>
      <c r="B50" t="s">
        <v>250</v>
      </c>
      <c r="J50" s="51"/>
      <c r="K50" s="51"/>
    </row>
    <row r="51" spans="1:11" ht="3.75" customHeight="1" x14ac:dyDescent="0.45">
      <c r="A51" s="7"/>
      <c r="J51" s="51"/>
      <c r="K51" s="51"/>
    </row>
    <row r="52" spans="1:11" x14ac:dyDescent="0.45">
      <c r="C52" s="74"/>
      <c r="D52" s="74"/>
      <c r="E52" s="74"/>
      <c r="F52" s="74"/>
      <c r="G52" s="74"/>
      <c r="H52" s="74"/>
      <c r="I52" s="74"/>
      <c r="J52" s="82"/>
      <c r="K52" s="82"/>
    </row>
    <row r="53" spans="1:11" x14ac:dyDescent="0.45">
      <c r="C53" s="74"/>
      <c r="D53" s="74"/>
      <c r="F53" s="74" t="str">
        <f>HPS!B32</f>
        <v>Mengetahui,</v>
      </c>
      <c r="G53" s="74"/>
      <c r="H53" s="74"/>
      <c r="I53" s="74"/>
    </row>
    <row r="54" spans="1:11" x14ac:dyDescent="0.45">
      <c r="C54" s="74"/>
      <c r="D54" s="74"/>
      <c r="E54" s="74"/>
      <c r="F54" s="74" t="str">
        <f>HPS!B33</f>
        <v>Kepala Sekolah SDN Kebon Kosong 09</v>
      </c>
      <c r="G54" s="74"/>
      <c r="H54" s="74"/>
      <c r="I54" s="74"/>
      <c r="J54" s="67"/>
      <c r="K54" s="67"/>
    </row>
    <row r="55" spans="1:11" x14ac:dyDescent="0.45">
      <c r="C55" s="74"/>
      <c r="D55" s="74"/>
      <c r="E55" s="74"/>
      <c r="G55" s="74"/>
      <c r="H55" s="74"/>
      <c r="I55" s="74"/>
    </row>
    <row r="56" spans="1:11" x14ac:dyDescent="0.45">
      <c r="C56" s="74"/>
      <c r="D56" s="74"/>
      <c r="E56" s="74"/>
      <c r="G56" s="74"/>
      <c r="H56" s="74"/>
      <c r="I56" s="74"/>
    </row>
    <row r="57" spans="1:11" x14ac:dyDescent="0.45">
      <c r="C57" s="74"/>
      <c r="D57" s="74"/>
      <c r="E57" s="74"/>
      <c r="G57" s="74"/>
      <c r="H57" s="74"/>
      <c r="I57" s="74"/>
      <c r="J57" s="74"/>
    </row>
    <row r="58" spans="1:11" x14ac:dyDescent="0.45">
      <c r="C58" s="74"/>
      <c r="D58" s="74"/>
      <c r="E58" s="74"/>
      <c r="G58" s="74"/>
      <c r="H58" s="74"/>
      <c r="I58" s="74"/>
      <c r="J58" s="74"/>
    </row>
    <row r="59" spans="1:11" x14ac:dyDescent="0.45">
      <c r="C59" s="74"/>
      <c r="D59" s="74"/>
      <c r="E59" s="74"/>
      <c r="G59" s="74"/>
      <c r="H59" s="74"/>
      <c r="I59" s="74"/>
      <c r="J59" s="74"/>
    </row>
    <row r="60" spans="1:11" x14ac:dyDescent="0.45">
      <c r="C60" s="74"/>
      <c r="D60" s="74"/>
      <c r="E60" s="74"/>
      <c r="F60" s="103" t="str">
        <f>HPS!$B$42</f>
        <v>Khairunnisa</v>
      </c>
      <c r="H60" s="74"/>
      <c r="I60" s="74"/>
      <c r="J60" s="74"/>
    </row>
    <row r="61" spans="1:11" x14ac:dyDescent="0.45">
      <c r="F61" s="74" t="str">
        <f>HPS!$B$43</f>
        <v>NIP. 198402112011012010</v>
      </c>
      <c r="J61" s="74"/>
    </row>
    <row r="62" spans="1:11" x14ac:dyDescent="0.45">
      <c r="J62" s="74"/>
    </row>
    <row r="63" spans="1:11" x14ac:dyDescent="0.45">
      <c r="J63" s="74"/>
    </row>
    <row r="64" spans="1:11" x14ac:dyDescent="0.45">
      <c r="J64" s="74"/>
    </row>
    <row r="65" spans="10:10" x14ac:dyDescent="0.45">
      <c r="J65" s="74"/>
    </row>
  </sheetData>
  <mergeCells count="28">
    <mergeCell ref="I34:J34"/>
    <mergeCell ref="I35:J35"/>
    <mergeCell ref="I36:J36"/>
    <mergeCell ref="I37:J37"/>
    <mergeCell ref="I38:J38"/>
    <mergeCell ref="J6:K6"/>
    <mergeCell ref="D6:I6"/>
    <mergeCell ref="A1:K1"/>
    <mergeCell ref="A2:K2"/>
    <mergeCell ref="A3:K3"/>
    <mergeCell ref="A4:K4"/>
    <mergeCell ref="A5:K5"/>
    <mergeCell ref="C39:F39"/>
    <mergeCell ref="I39:J39"/>
    <mergeCell ref="A8:K8"/>
    <mergeCell ref="A9:K9"/>
    <mergeCell ref="C31:F31"/>
    <mergeCell ref="G31:H31"/>
    <mergeCell ref="C32:F32"/>
    <mergeCell ref="I31:J31"/>
    <mergeCell ref="I32:J32"/>
    <mergeCell ref="C33:F33"/>
    <mergeCell ref="C34:F34"/>
    <mergeCell ref="C35:F35"/>
    <mergeCell ref="C36:F36"/>
    <mergeCell ref="C37:F37"/>
    <mergeCell ref="C38:F38"/>
    <mergeCell ref="I33:J33"/>
  </mergeCells>
  <pageMargins left="0.7" right="0.7" top="0.75" bottom="0.75" header="0.3" footer="0.3"/>
  <pageSetup paperSize="10000" scale="71" fitToHeight="0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64"/>
  <sheetViews>
    <sheetView view="pageBreakPreview" zoomScale="85" zoomScaleNormal="85" zoomScaleSheetLayoutView="85" workbookViewId="0">
      <selection activeCell="B11" sqref="B11"/>
    </sheetView>
  </sheetViews>
  <sheetFormatPr defaultRowHeight="14.25" x14ac:dyDescent="0.45"/>
  <cols>
    <col min="1" max="1" width="1.73046875" customWidth="1"/>
    <col min="2" max="2" width="12" customWidth="1"/>
    <col min="3" max="3" width="2.73046875" customWidth="1"/>
    <col min="4" max="4" width="5" customWidth="1"/>
    <col min="5" max="5" width="20.86328125" bestFit="1" customWidth="1"/>
    <col min="7" max="7" width="7.796875" customWidth="1"/>
    <col min="8" max="8" width="11.33203125" customWidth="1"/>
    <col min="9" max="9" width="17" customWidth="1"/>
    <col min="11" max="11" width="16.265625" customWidth="1"/>
  </cols>
  <sheetData>
    <row r="1" spans="1:11" ht="17.25" x14ac:dyDescent="0.45">
      <c r="A1" s="233" t="s">
        <v>52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</row>
    <row r="2" spans="1:11" ht="17.25" x14ac:dyDescent="0.45">
      <c r="A2" s="233" t="s">
        <v>109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</row>
    <row r="3" spans="1:11" ht="17.25" x14ac:dyDescent="0.45">
      <c r="A3" s="233" t="str">
        <f>[4]BAPB!A4</f>
        <v>SEKOLAH DASAR NEGERI KEBON KOSONG 09 PAGI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</row>
    <row r="4" spans="1:11" ht="17.25" x14ac:dyDescent="0.45">
      <c r="A4" s="233" t="str">
        <f>HPS!A4</f>
        <v>Jl. Kemayoran Gempol no.32 RT 015.05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</row>
    <row r="5" spans="1:11" ht="14.65" thickBot="1" x14ac:dyDescent="0.5">
      <c r="A5" s="54"/>
      <c r="B5" s="54"/>
      <c r="C5" s="54"/>
      <c r="D5" s="232"/>
      <c r="E5" s="232"/>
      <c r="F5" s="232"/>
      <c r="G5" s="232"/>
      <c r="H5" s="232"/>
      <c r="I5" s="232"/>
      <c r="J5" s="55"/>
      <c r="K5" s="54"/>
    </row>
    <row r="6" spans="1:11" ht="14.65" thickTop="1" x14ac:dyDescent="0.45"/>
    <row r="8" spans="1:11" ht="22.5" x14ac:dyDescent="0.45">
      <c r="A8" s="227" t="s">
        <v>30</v>
      </c>
      <c r="B8" s="227"/>
      <c r="C8" s="227"/>
      <c r="D8" s="227"/>
      <c r="E8" s="227"/>
      <c r="F8" s="227"/>
      <c r="G8" s="227"/>
      <c r="H8" s="227"/>
      <c r="I8" s="227"/>
      <c r="J8" s="227"/>
      <c r="K8" s="227"/>
    </row>
    <row r="9" spans="1:11" ht="15" x14ac:dyDescent="0.45">
      <c r="A9" s="228" t="s">
        <v>179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</row>
    <row r="10" spans="1:11" ht="15" x14ac:dyDescent="0.45">
      <c r="A10" s="7"/>
      <c r="B10" s="52"/>
      <c r="C10" s="52"/>
      <c r="D10" s="52"/>
      <c r="E10" s="29"/>
      <c r="F10" s="29"/>
      <c r="G10" s="29"/>
      <c r="H10" s="29"/>
      <c r="I10" s="29"/>
      <c r="J10" s="52"/>
      <c r="K10" s="52"/>
    </row>
    <row r="11" spans="1:11" x14ac:dyDescent="0.45">
      <c r="A11" s="33"/>
      <c r="B11" s="61" t="str">
        <f>BAPB!B11</f>
        <v>Pada hari ini, Selasa Tanggal Enam Belas bulan Juni Tahun Dua Ribu Dua Puluh Enam yang bertanda tangan dibawah ini :</v>
      </c>
      <c r="C11" s="61"/>
      <c r="D11" s="163"/>
      <c r="E11" s="163"/>
      <c r="F11" s="163"/>
      <c r="G11" s="163"/>
      <c r="H11" s="163"/>
      <c r="I11" s="163"/>
      <c r="J11" s="163"/>
      <c r="K11" s="163"/>
    </row>
    <row r="12" spans="1:11" x14ac:dyDescent="0.45">
      <c r="A12" s="33"/>
      <c r="B12" s="61" t="s">
        <v>31</v>
      </c>
      <c r="C12" s="61" t="s">
        <v>1</v>
      </c>
      <c r="D12" s="61" t="str">
        <f>BAPB!D12</f>
        <v>Sulistiawati</v>
      </c>
      <c r="E12" s="163"/>
      <c r="F12" s="163"/>
      <c r="G12" s="163"/>
      <c r="H12" s="163"/>
      <c r="I12" s="163"/>
      <c r="J12" s="163"/>
      <c r="K12" s="163"/>
    </row>
    <row r="13" spans="1:11" x14ac:dyDescent="0.45">
      <c r="A13" s="33"/>
      <c r="B13" s="61" t="s">
        <v>32</v>
      </c>
      <c r="C13" s="61" t="s">
        <v>1</v>
      </c>
      <c r="D13" s="61" t="str">
        <f>BAPB!D13</f>
        <v>Pengurus Barang</v>
      </c>
      <c r="E13" s="163"/>
      <c r="F13" s="163"/>
      <c r="G13" s="163"/>
      <c r="H13" s="163"/>
      <c r="I13" s="163"/>
      <c r="J13" s="163"/>
      <c r="K13" s="163"/>
    </row>
    <row r="14" spans="1:11" x14ac:dyDescent="0.45">
      <c r="A14" s="33"/>
      <c r="B14" s="61" t="s">
        <v>177</v>
      </c>
      <c r="C14" s="61" t="s">
        <v>44</v>
      </c>
      <c r="D14" s="221" t="s">
        <v>248</v>
      </c>
      <c r="E14" s="163"/>
      <c r="F14" s="163"/>
      <c r="G14" s="163"/>
      <c r="H14" s="163"/>
      <c r="I14" s="163"/>
      <c r="J14" s="163"/>
      <c r="K14" s="163"/>
    </row>
    <row r="15" spans="1:11" x14ac:dyDescent="0.45">
      <c r="A15" s="33"/>
      <c r="B15" s="61" t="s">
        <v>180</v>
      </c>
      <c r="C15" s="61" t="s">
        <v>1</v>
      </c>
      <c r="D15" s="61" t="str">
        <f>BAPB!D15</f>
        <v>SDN Kebon Kosong 09</v>
      </c>
      <c r="E15" s="163"/>
      <c r="F15" s="163"/>
      <c r="G15" s="163"/>
      <c r="H15" s="163"/>
      <c r="I15" s="163"/>
      <c r="J15" s="163"/>
      <c r="K15" s="163"/>
    </row>
    <row r="16" spans="1:11" x14ac:dyDescent="0.45">
      <c r="A16" s="33"/>
      <c r="B16" s="61" t="s">
        <v>34</v>
      </c>
      <c r="C16" s="61" t="s">
        <v>1</v>
      </c>
      <c r="D16" s="61" t="str">
        <f>BAPB!D16</f>
        <v>Jl. Kemayoran Gempol no.32</v>
      </c>
      <c r="E16" s="163"/>
      <c r="F16" s="211"/>
      <c r="G16" s="211"/>
      <c r="H16" s="211"/>
      <c r="I16" s="211"/>
      <c r="J16" s="211"/>
      <c r="K16" s="211"/>
    </row>
    <row r="17" spans="1:11" x14ac:dyDescent="0.45">
      <c r="A17" s="33"/>
      <c r="B17" s="163"/>
      <c r="C17" s="163"/>
      <c r="D17" s="61"/>
      <c r="E17" s="163"/>
      <c r="F17" s="211"/>
      <c r="G17" s="211"/>
      <c r="H17" s="211"/>
      <c r="I17" s="211"/>
      <c r="J17" s="211"/>
      <c r="K17" s="211"/>
    </row>
    <row r="18" spans="1:11" x14ac:dyDescent="0.45">
      <c r="A18" s="33"/>
      <c r="B18" s="61" t="s">
        <v>183</v>
      </c>
      <c r="C18" s="61"/>
      <c r="D18" s="163"/>
      <c r="E18" s="212"/>
      <c r="F18" s="163"/>
      <c r="G18" s="163"/>
      <c r="H18" s="163"/>
      <c r="I18" s="163"/>
      <c r="J18" s="163"/>
      <c r="K18" s="163"/>
    </row>
    <row r="19" spans="1:11" x14ac:dyDescent="0.45">
      <c r="A19" s="33"/>
      <c r="B19" s="61"/>
      <c r="C19" s="61"/>
      <c r="D19" s="163"/>
      <c r="E19" s="212"/>
      <c r="F19" s="163"/>
      <c r="G19" s="163"/>
      <c r="H19" s="163"/>
      <c r="I19" s="163"/>
      <c r="J19" s="163"/>
      <c r="K19" s="163"/>
    </row>
    <row r="20" spans="1:11" x14ac:dyDescent="0.45">
      <c r="A20" s="33"/>
      <c r="B20" s="61" t="s">
        <v>31</v>
      </c>
      <c r="C20" s="61" t="s">
        <v>1</v>
      </c>
      <c r="D20" s="61" t="str">
        <f>BAPB!D20</f>
        <v>Bambang Solifian</v>
      </c>
      <c r="E20" s="212"/>
      <c r="F20" s="212"/>
      <c r="G20" s="211"/>
      <c r="H20" s="212"/>
      <c r="I20" s="212"/>
      <c r="J20" s="212"/>
      <c r="K20" s="212"/>
    </row>
    <row r="21" spans="1:11" x14ac:dyDescent="0.45">
      <c r="A21" s="33"/>
      <c r="B21" s="61" t="s">
        <v>32</v>
      </c>
      <c r="C21" s="61" t="s">
        <v>1</v>
      </c>
      <c r="D21" s="61" t="str">
        <f>BAPB!D21</f>
        <v>Direktur</v>
      </c>
      <c r="E21" s="212"/>
      <c r="F21" s="212"/>
      <c r="G21" s="163"/>
      <c r="H21" s="212"/>
      <c r="I21" s="212"/>
      <c r="J21" s="212"/>
      <c r="K21" s="212"/>
    </row>
    <row r="22" spans="1:11" x14ac:dyDescent="0.45">
      <c r="A22" s="33"/>
      <c r="B22" s="61" t="s">
        <v>33</v>
      </c>
      <c r="C22" s="61" t="s">
        <v>1</v>
      </c>
      <c r="D22" s="61" t="str">
        <f>BAPB!D22</f>
        <v>CV. PUSTAKA CEMERLANG INDONESIA</v>
      </c>
      <c r="E22" s="212"/>
      <c r="F22" s="212"/>
      <c r="G22" s="163"/>
      <c r="H22" s="212"/>
      <c r="I22" s="212"/>
      <c r="J22" s="212"/>
      <c r="K22" s="212"/>
    </row>
    <row r="23" spans="1:11" x14ac:dyDescent="0.45">
      <c r="A23" s="33"/>
      <c r="B23" s="61" t="s">
        <v>36</v>
      </c>
      <c r="C23" s="61" t="s">
        <v>1</v>
      </c>
      <c r="D23" s="61" t="str">
        <f>BAPB!D23</f>
        <v>Wisma Mitra Sunter 3-03</v>
      </c>
      <c r="E23" s="212"/>
      <c r="F23" s="212"/>
      <c r="G23" s="163"/>
      <c r="H23" s="212"/>
      <c r="I23" s="212"/>
      <c r="J23" s="212"/>
      <c r="K23" s="212"/>
    </row>
    <row r="24" spans="1:11" x14ac:dyDescent="0.45">
      <c r="A24" s="33"/>
      <c r="B24" s="211" t="s">
        <v>34</v>
      </c>
      <c r="C24" s="211" t="s">
        <v>1</v>
      </c>
      <c r="D24" s="61" t="str">
        <f>BAPB!D24</f>
        <v>Jl. Yos Sudarso Kav. 89, Boulevard Mitra Sunter Blok C2, Sunter Jaya, Tanjung Priok</v>
      </c>
      <c r="E24" s="212"/>
      <c r="F24" s="212"/>
      <c r="G24" s="163"/>
      <c r="H24" s="163"/>
      <c r="I24" s="163"/>
      <c r="J24" s="163"/>
      <c r="K24" s="163"/>
    </row>
    <row r="25" spans="1:11" x14ac:dyDescent="0.45">
      <c r="A25" s="33"/>
      <c r="B25" s="212"/>
      <c r="C25" s="212"/>
      <c r="D25" s="212"/>
      <c r="E25" s="212"/>
      <c r="F25" s="212"/>
      <c r="G25" s="163"/>
      <c r="H25" s="163"/>
      <c r="I25" s="163"/>
      <c r="J25" s="163"/>
      <c r="K25" s="163"/>
    </row>
    <row r="26" spans="1:11" x14ac:dyDescent="0.45">
      <c r="A26" s="33"/>
      <c r="B26" s="61" t="s">
        <v>184</v>
      </c>
      <c r="C26" s="211"/>
      <c r="D26" s="211"/>
      <c r="E26" s="211"/>
      <c r="F26" s="211"/>
      <c r="G26" s="211"/>
      <c r="H26" s="211"/>
      <c r="I26" s="211"/>
      <c r="J26" s="211"/>
      <c r="K26" s="211"/>
    </row>
    <row r="27" spans="1:11" x14ac:dyDescent="0.45">
      <c r="A27" s="33"/>
      <c r="B27" s="211"/>
      <c r="C27" s="61"/>
      <c r="D27" s="163"/>
      <c r="E27" s="163"/>
      <c r="F27" s="163"/>
      <c r="G27" s="163"/>
      <c r="H27" s="163"/>
      <c r="I27" s="163"/>
      <c r="J27" s="163"/>
      <c r="K27" s="163"/>
    </row>
    <row r="28" spans="1:11" x14ac:dyDescent="0.45">
      <c r="A28" s="33"/>
      <c r="B28" s="61" t="s">
        <v>89</v>
      </c>
      <c r="C28" s="163"/>
      <c r="D28" s="163"/>
      <c r="E28" s="163"/>
      <c r="F28" s="163"/>
      <c r="G28" s="163"/>
      <c r="H28" s="163"/>
      <c r="I28" s="163"/>
      <c r="J28" s="163"/>
      <c r="K28" s="163"/>
    </row>
    <row r="29" spans="1:11" x14ac:dyDescent="0.45">
      <c r="A29" s="33"/>
      <c r="B29" s="61" t="s">
        <v>216</v>
      </c>
      <c r="C29" s="163"/>
      <c r="D29" s="163"/>
      <c r="E29" s="163"/>
      <c r="F29" s="163"/>
      <c r="G29" s="163"/>
      <c r="H29" s="163"/>
      <c r="I29" s="163"/>
      <c r="J29" s="163"/>
      <c r="K29" s="163"/>
    </row>
    <row r="30" spans="1:11" x14ac:dyDescent="0.4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</row>
    <row r="31" spans="1:11" ht="17.649999999999999" x14ac:dyDescent="0.45">
      <c r="A31" s="33"/>
      <c r="B31" s="200" t="s">
        <v>21</v>
      </c>
      <c r="C31" s="395" t="s">
        <v>37</v>
      </c>
      <c r="D31" s="396"/>
      <c r="E31" s="396"/>
      <c r="F31" s="397"/>
      <c r="G31" s="201" t="s">
        <v>38</v>
      </c>
      <c r="H31" s="200" t="s">
        <v>39</v>
      </c>
      <c r="I31" s="395" t="s">
        <v>90</v>
      </c>
      <c r="J31" s="396"/>
      <c r="K31" s="397"/>
    </row>
    <row r="32" spans="1:11" ht="35.25" customHeight="1" x14ac:dyDescent="0.45">
      <c r="A32" s="33"/>
      <c r="B32" s="202">
        <v>1</v>
      </c>
      <c r="C32" s="388" t="str">
        <f>BAPB!C32</f>
        <v>glass cleaner</v>
      </c>
      <c r="D32" s="389"/>
      <c r="E32" s="389"/>
      <c r="F32" s="390"/>
      <c r="G32" s="203">
        <f>BAPB!G32</f>
        <v>15</v>
      </c>
      <c r="H32" s="202" t="str">
        <f>BAPB!H32</f>
        <v>liter</v>
      </c>
      <c r="I32" s="391" t="s">
        <v>104</v>
      </c>
      <c r="J32" s="392"/>
      <c r="K32" s="393"/>
    </row>
    <row r="33" spans="1:11" ht="35.25" customHeight="1" x14ac:dyDescent="0.45">
      <c r="A33" s="33"/>
      <c r="B33" s="202">
        <v>2</v>
      </c>
      <c r="C33" s="388" t="str">
        <f>BAPB!C33</f>
        <v>dust cleaner</v>
      </c>
      <c r="D33" s="389"/>
      <c r="E33" s="389"/>
      <c r="F33" s="390"/>
      <c r="G33" s="203">
        <f>BAPB!G33</f>
        <v>3</v>
      </c>
      <c r="H33" s="202" t="str">
        <f>BAPB!H33</f>
        <v>galon</v>
      </c>
      <c r="I33" s="391" t="s">
        <v>104</v>
      </c>
      <c r="J33" s="392"/>
      <c r="K33" s="393"/>
    </row>
    <row r="34" spans="1:11" ht="35.25" customHeight="1" x14ac:dyDescent="0.45">
      <c r="A34" s="33"/>
      <c r="B34" s="202">
        <v>3</v>
      </c>
      <c r="C34" s="388" t="str">
        <f>BAPB!C34</f>
        <v>karbol</v>
      </c>
      <c r="D34" s="389"/>
      <c r="E34" s="389"/>
      <c r="F34" s="390"/>
      <c r="G34" s="203">
        <f>BAPB!G34</f>
        <v>5</v>
      </c>
      <c r="H34" s="202" t="str">
        <f>BAPB!H34</f>
        <v>botol</v>
      </c>
      <c r="I34" s="391" t="s">
        <v>104</v>
      </c>
      <c r="J34" s="392"/>
      <c r="K34" s="393"/>
    </row>
    <row r="35" spans="1:11" ht="35.25" customHeight="1" x14ac:dyDescent="0.45">
      <c r="A35" s="33"/>
      <c r="B35" s="202">
        <v>4</v>
      </c>
      <c r="C35" s="388" t="str">
        <f>BAPB!C35</f>
        <v>sabun cuci piring</v>
      </c>
      <c r="D35" s="389"/>
      <c r="E35" s="389"/>
      <c r="F35" s="390"/>
      <c r="G35" s="203">
        <f>BAPB!G35</f>
        <v>3</v>
      </c>
      <c r="H35" s="202" t="str">
        <f>BAPB!H35</f>
        <v>jerigen</v>
      </c>
      <c r="I35" s="391" t="s">
        <v>104</v>
      </c>
      <c r="J35" s="392"/>
      <c r="K35" s="393"/>
    </row>
    <row r="36" spans="1:11" ht="35.25" customHeight="1" x14ac:dyDescent="0.45">
      <c r="A36" s="33"/>
      <c r="B36" s="202">
        <v>5</v>
      </c>
      <c r="C36" s="388" t="str">
        <f>BAPB!C36</f>
        <v>pembersih  porselin</v>
      </c>
      <c r="D36" s="389"/>
      <c r="E36" s="389"/>
      <c r="F36" s="390"/>
      <c r="G36" s="203">
        <f>BAPB!G36</f>
        <v>3</v>
      </c>
      <c r="H36" s="202" t="str">
        <f>BAPB!H36</f>
        <v>galon</v>
      </c>
      <c r="I36" s="391" t="s">
        <v>104</v>
      </c>
      <c r="J36" s="392"/>
      <c r="K36" s="393"/>
    </row>
    <row r="37" spans="1:11" ht="35.25" customHeight="1" x14ac:dyDescent="0.45">
      <c r="A37" s="33"/>
      <c r="B37" s="202">
        <v>6</v>
      </c>
      <c r="C37" s="388" t="str">
        <f>BAPB!C37</f>
        <v>sabun cuci tangan cair</v>
      </c>
      <c r="D37" s="389"/>
      <c r="E37" s="389"/>
      <c r="F37" s="390"/>
      <c r="G37" s="203">
        <f>BAPB!G37</f>
        <v>6</v>
      </c>
      <c r="H37" s="202" t="str">
        <f>BAPB!H37</f>
        <v>liter</v>
      </c>
      <c r="I37" s="391" t="s">
        <v>104</v>
      </c>
      <c r="J37" s="392"/>
      <c r="K37" s="393"/>
    </row>
    <row r="38" spans="1:11" ht="35.25" customHeight="1" x14ac:dyDescent="0.45">
      <c r="A38" s="33"/>
      <c r="B38" s="202">
        <v>7</v>
      </c>
      <c r="C38" s="388" t="str">
        <f>BAPB!C38</f>
        <v>kamper</v>
      </c>
      <c r="D38" s="389"/>
      <c r="E38" s="389"/>
      <c r="F38" s="390"/>
      <c r="G38" s="203">
        <f>BAPB!G38</f>
        <v>5</v>
      </c>
      <c r="H38" s="202" t="str">
        <f>BAPB!H38</f>
        <v>bungkus</v>
      </c>
      <c r="I38" s="391" t="s">
        <v>104</v>
      </c>
      <c r="J38" s="392"/>
      <c r="K38" s="393"/>
    </row>
    <row r="39" spans="1:11" ht="35.25" customHeight="1" x14ac:dyDescent="0.45">
      <c r="A39" s="33"/>
      <c r="B39" s="202">
        <v>8</v>
      </c>
      <c r="C39" s="388" t="str">
        <f>BAPB!C39</f>
        <v>pengharum kloset</v>
      </c>
      <c r="D39" s="389"/>
      <c r="E39" s="389"/>
      <c r="F39" s="390"/>
      <c r="G39" s="203">
        <f>BAPB!G39</f>
        <v>10</v>
      </c>
      <c r="H39" s="202" t="str">
        <f>BAPB!H39</f>
        <v>buah</v>
      </c>
      <c r="I39" s="391" t="s">
        <v>104</v>
      </c>
      <c r="J39" s="392"/>
      <c r="K39" s="393"/>
    </row>
    <row r="40" spans="1:11" ht="35.25" customHeight="1" x14ac:dyDescent="0.45">
      <c r="A40" s="33"/>
      <c r="B40" s="202"/>
      <c r="C40" s="388"/>
      <c r="D40" s="389"/>
      <c r="E40" s="389"/>
      <c r="F40" s="390"/>
      <c r="G40" s="203"/>
      <c r="H40" s="202"/>
      <c r="I40" s="391"/>
      <c r="J40" s="392"/>
      <c r="K40" s="393"/>
    </row>
    <row r="41" spans="1:11" x14ac:dyDescent="0.45">
      <c r="A41" s="33"/>
      <c r="B41" s="33"/>
      <c r="C41" s="32"/>
      <c r="D41" s="32"/>
      <c r="E41" s="32"/>
      <c r="F41" s="32"/>
      <c r="G41" s="32"/>
      <c r="H41" s="7"/>
    </row>
    <row r="42" spans="1:11" ht="15.75" x14ac:dyDescent="0.5">
      <c r="A42" s="33"/>
      <c r="B42" s="204" t="s">
        <v>214</v>
      </c>
      <c r="C42" s="205"/>
      <c r="D42" s="205"/>
      <c r="E42" s="205"/>
      <c r="F42" s="205"/>
      <c r="G42" s="205"/>
      <c r="H42" s="206"/>
      <c r="I42" s="3"/>
    </row>
    <row r="43" spans="1:11" ht="15.75" x14ac:dyDescent="0.5">
      <c r="A43" s="33"/>
      <c r="B43" s="204" t="s">
        <v>215</v>
      </c>
      <c r="C43" s="205"/>
      <c r="D43" s="205"/>
      <c r="E43" s="205"/>
      <c r="F43" s="205"/>
      <c r="G43" s="205"/>
      <c r="H43" s="206"/>
      <c r="I43" s="3"/>
    </row>
    <row r="44" spans="1:11" ht="15.75" x14ac:dyDescent="0.5">
      <c r="A44" s="33"/>
      <c r="B44" s="204"/>
      <c r="C44" s="205"/>
      <c r="D44" s="205"/>
      <c r="E44" s="205"/>
      <c r="F44" s="205"/>
      <c r="G44" s="205"/>
      <c r="H44" s="206"/>
      <c r="I44" s="3"/>
    </row>
    <row r="45" spans="1:11" ht="15.75" x14ac:dyDescent="0.5">
      <c r="A45" s="33"/>
      <c r="B45" s="204" t="s">
        <v>93</v>
      </c>
      <c r="C45" s="205"/>
      <c r="D45" s="205"/>
      <c r="E45" s="205"/>
      <c r="F45" s="205"/>
      <c r="G45" s="205"/>
      <c r="H45" s="206"/>
      <c r="I45" s="3"/>
    </row>
    <row r="46" spans="1:11" ht="15.75" x14ac:dyDescent="0.5">
      <c r="A46" s="33"/>
      <c r="B46" s="204"/>
      <c r="C46" s="205"/>
      <c r="D46" s="205"/>
      <c r="E46" s="205"/>
      <c r="F46" s="205"/>
      <c r="G46" s="205"/>
      <c r="H46" s="206"/>
      <c r="I46" s="3"/>
      <c r="J46" s="3"/>
      <c r="K46" s="3"/>
    </row>
    <row r="47" spans="1:11" ht="15.75" x14ac:dyDescent="0.5">
      <c r="A47" s="7"/>
      <c r="B47" s="205" t="s">
        <v>41</v>
      </c>
      <c r="C47" s="205"/>
      <c r="D47" s="205"/>
      <c r="E47" s="205"/>
      <c r="F47" s="205"/>
      <c r="G47" s="205"/>
      <c r="H47" s="206"/>
      <c r="I47" s="3"/>
      <c r="J47" s="205" t="s">
        <v>40</v>
      </c>
      <c r="K47" s="205"/>
    </row>
    <row r="48" spans="1:11" ht="15.75" x14ac:dyDescent="0.5">
      <c r="A48" s="7"/>
      <c r="B48" s="205" t="s">
        <v>43</v>
      </c>
      <c r="C48" s="205"/>
      <c r="D48" s="205"/>
      <c r="E48" s="205"/>
      <c r="F48" s="205"/>
      <c r="G48" s="205"/>
      <c r="H48" s="206"/>
      <c r="I48" s="3"/>
      <c r="J48" s="205" t="s">
        <v>42</v>
      </c>
      <c r="K48" s="205"/>
    </row>
    <row r="49" spans="1:11" ht="15.75" x14ac:dyDescent="0.5">
      <c r="A49" s="7"/>
      <c r="B49" s="205"/>
      <c r="C49" s="205"/>
      <c r="D49" s="205"/>
      <c r="E49" s="205"/>
      <c r="F49" s="205"/>
      <c r="G49" s="205"/>
      <c r="H49" s="206"/>
      <c r="I49" s="3"/>
      <c r="J49" s="207"/>
      <c r="K49" s="207"/>
    </row>
    <row r="50" spans="1:11" ht="15.75" x14ac:dyDescent="0.5">
      <c r="B50" s="207"/>
      <c r="C50" s="207"/>
      <c r="D50" s="207"/>
      <c r="E50" s="205"/>
      <c r="F50" s="205"/>
      <c r="G50" s="205"/>
      <c r="H50" s="206"/>
      <c r="I50" s="3"/>
      <c r="J50" s="206"/>
      <c r="K50" s="207"/>
    </row>
    <row r="51" spans="1:11" ht="15.75" x14ac:dyDescent="0.5">
      <c r="B51" s="207"/>
      <c r="C51" s="207"/>
      <c r="D51" s="207"/>
      <c r="E51" s="205"/>
      <c r="F51" s="205"/>
      <c r="G51" s="205"/>
      <c r="H51" s="206"/>
      <c r="I51" s="3"/>
      <c r="J51" s="206"/>
      <c r="K51" s="207"/>
    </row>
    <row r="52" spans="1:11" ht="15.75" x14ac:dyDescent="0.5">
      <c r="B52" s="207"/>
      <c r="C52" s="208"/>
      <c r="D52" s="208"/>
      <c r="E52" s="205"/>
      <c r="F52" s="205"/>
      <c r="G52" s="205"/>
      <c r="H52" s="206"/>
      <c r="I52" s="3"/>
      <c r="J52" s="208"/>
      <c r="K52" s="208"/>
    </row>
    <row r="53" spans="1:11" ht="15.75" x14ac:dyDescent="0.5">
      <c r="B53" s="208" t="str">
        <f>D12</f>
        <v>Sulistiawati</v>
      </c>
      <c r="C53" s="209"/>
      <c r="D53" s="210"/>
      <c r="E53" s="205"/>
      <c r="F53" s="205"/>
      <c r="G53" s="205"/>
      <c r="H53" s="205"/>
      <c r="I53" s="3"/>
      <c r="J53" s="208" t="str">
        <f>BAPB!I49</f>
        <v>Bambang Solifian</v>
      </c>
      <c r="K53" s="205"/>
    </row>
    <row r="54" spans="1:11" ht="15.75" x14ac:dyDescent="0.5">
      <c r="B54" s="3" t="str">
        <f>BAPB!B50</f>
        <v>NIP. 197909092022212008</v>
      </c>
      <c r="C54" s="3"/>
      <c r="D54" s="3"/>
      <c r="E54" s="3"/>
      <c r="F54" s="3"/>
      <c r="G54" s="3"/>
      <c r="H54" s="3"/>
      <c r="I54" s="3"/>
      <c r="J54" s="3"/>
      <c r="K54" s="3"/>
    </row>
    <row r="55" spans="1:11" ht="15.75" x14ac:dyDescent="0.5"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5.75" x14ac:dyDescent="0.5">
      <c r="B56" s="3"/>
      <c r="C56" s="3"/>
      <c r="D56" s="3"/>
      <c r="E56" s="324" t="str">
        <f>'[4]SURAT NEGOSIASI'!E52:J52</f>
        <v>Mengetahui,</v>
      </c>
      <c r="F56" s="324"/>
      <c r="G56" s="324"/>
      <c r="H56" s="324"/>
      <c r="I56" s="324"/>
      <c r="J56" s="3"/>
      <c r="K56" s="3"/>
    </row>
    <row r="57" spans="1:11" ht="15.75" x14ac:dyDescent="0.5">
      <c r="B57" s="3"/>
      <c r="C57" s="3"/>
      <c r="D57" s="3"/>
      <c r="E57" s="324" t="str">
        <f>'[4]SURAT NEGOSIASI'!E53:J53</f>
        <v>Kepala Sekolah</v>
      </c>
      <c r="F57" s="324"/>
      <c r="G57" s="324"/>
      <c r="H57" s="324"/>
      <c r="I57" s="324"/>
      <c r="J57" s="3"/>
      <c r="K57" s="3"/>
    </row>
    <row r="58" spans="1:11" ht="15.75" x14ac:dyDescent="0.5">
      <c r="B58" s="3"/>
      <c r="C58" s="3"/>
      <c r="D58" s="3"/>
      <c r="E58" s="324"/>
      <c r="F58" s="324"/>
      <c r="G58" s="324"/>
      <c r="H58" s="324"/>
      <c r="I58" s="3"/>
      <c r="J58" s="3"/>
      <c r="K58" s="3"/>
    </row>
    <row r="59" spans="1:11" ht="15.75" x14ac:dyDescent="0.5">
      <c r="B59" s="3"/>
      <c r="C59" s="3"/>
      <c r="D59" s="3"/>
      <c r="E59" s="324"/>
      <c r="F59" s="324"/>
      <c r="G59" s="324"/>
      <c r="H59" s="324"/>
      <c r="I59" s="3"/>
      <c r="J59" s="3"/>
      <c r="K59" s="3"/>
    </row>
    <row r="60" spans="1:11" ht="15.75" x14ac:dyDescent="0.5">
      <c r="B60" s="3"/>
      <c r="C60" s="3"/>
      <c r="D60" s="3"/>
      <c r="E60" s="324"/>
      <c r="F60" s="324"/>
      <c r="G60" s="324"/>
      <c r="H60" s="324"/>
      <c r="I60" s="3"/>
      <c r="J60" s="3"/>
      <c r="K60" s="3"/>
    </row>
    <row r="61" spans="1:11" ht="15.75" x14ac:dyDescent="0.5">
      <c r="B61" s="3"/>
      <c r="C61" s="3"/>
      <c r="D61" s="3"/>
      <c r="E61" s="324"/>
      <c r="F61" s="324"/>
      <c r="G61" s="324"/>
      <c r="H61" s="324"/>
      <c r="I61" s="3"/>
      <c r="J61" s="3"/>
      <c r="K61" s="3"/>
    </row>
    <row r="62" spans="1:11" ht="15.75" x14ac:dyDescent="0.5">
      <c r="B62" s="3"/>
      <c r="C62" s="3"/>
      <c r="D62" s="3"/>
      <c r="E62" s="394" t="str">
        <f>BAPB!F60</f>
        <v>Khairunnisa</v>
      </c>
      <c r="F62" s="394"/>
      <c r="G62" s="394"/>
      <c r="H62" s="394"/>
      <c r="I62" s="394"/>
      <c r="J62" s="3"/>
      <c r="K62" s="3"/>
    </row>
    <row r="63" spans="1:11" ht="15.75" x14ac:dyDescent="0.5">
      <c r="B63" s="3"/>
      <c r="C63" s="3"/>
      <c r="D63" s="3"/>
      <c r="E63" s="324" t="str">
        <f>BAPB!F61</f>
        <v>NIP. 198402112011012010</v>
      </c>
      <c r="F63" s="324"/>
      <c r="G63" s="324"/>
      <c r="H63" s="324"/>
      <c r="I63" s="324"/>
      <c r="J63" s="3"/>
      <c r="K63" s="3"/>
    </row>
    <row r="64" spans="1:11" x14ac:dyDescent="0.45">
      <c r="E64" s="382"/>
      <c r="F64" s="382"/>
      <c r="G64" s="382"/>
      <c r="H64" s="382"/>
    </row>
  </sheetData>
  <mergeCells count="36">
    <mergeCell ref="C38:F38"/>
    <mergeCell ref="C39:F39"/>
    <mergeCell ref="I33:K33"/>
    <mergeCell ref="I34:K34"/>
    <mergeCell ref="I35:K35"/>
    <mergeCell ref="I36:K36"/>
    <mergeCell ref="I37:K37"/>
    <mergeCell ref="I38:K38"/>
    <mergeCell ref="I39:K39"/>
    <mergeCell ref="C36:F36"/>
    <mergeCell ref="C33:F33"/>
    <mergeCell ref="C34:F34"/>
    <mergeCell ref="C35:F35"/>
    <mergeCell ref="C37:F37"/>
    <mergeCell ref="D5:I5"/>
    <mergeCell ref="A1:K1"/>
    <mergeCell ref="A2:K2"/>
    <mergeCell ref="A3:K3"/>
    <mergeCell ref="A4:K4"/>
    <mergeCell ref="A8:K8"/>
    <mergeCell ref="A9:K9"/>
    <mergeCell ref="C31:F31"/>
    <mergeCell ref="I31:K31"/>
    <mergeCell ref="C32:F32"/>
    <mergeCell ref="I32:K32"/>
    <mergeCell ref="C40:F40"/>
    <mergeCell ref="I40:K40"/>
    <mergeCell ref="E64:H64"/>
    <mergeCell ref="E59:H59"/>
    <mergeCell ref="E60:H60"/>
    <mergeCell ref="E61:H61"/>
    <mergeCell ref="E62:I62"/>
    <mergeCell ref="E63:I63"/>
    <mergeCell ref="E56:I56"/>
    <mergeCell ref="E57:I57"/>
    <mergeCell ref="E58:H58"/>
  </mergeCells>
  <pageMargins left="0.7" right="0.7" top="0.75" bottom="0.75" header="0.3" footer="0.3"/>
  <pageSetup paperSize="10000" scale="6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9"/>
  <sheetViews>
    <sheetView view="pageBreakPreview" topLeftCell="A17" zoomScale="60" zoomScaleNormal="79" workbookViewId="0">
      <selection activeCell="K19" sqref="K19"/>
    </sheetView>
  </sheetViews>
  <sheetFormatPr defaultRowHeight="14.25" x14ac:dyDescent="0.45"/>
  <cols>
    <col min="1" max="1" width="2" customWidth="1"/>
    <col min="2" max="2" width="8" customWidth="1"/>
    <col min="3" max="3" width="3.3984375" customWidth="1"/>
    <col min="4" max="4" width="10.265625" customWidth="1"/>
    <col min="6" max="6" width="9.265625" customWidth="1"/>
    <col min="7" max="7" width="7" customWidth="1"/>
    <col min="9" max="9" width="21.3984375" customWidth="1"/>
    <col min="11" max="11" width="23.1328125" customWidth="1"/>
  </cols>
  <sheetData>
    <row r="1" spans="1:11" ht="17.25" x14ac:dyDescent="0.45">
      <c r="A1" s="233" t="s">
        <v>52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</row>
    <row r="2" spans="1:11" ht="17.25" x14ac:dyDescent="0.45">
      <c r="A2" s="233" t="s">
        <v>109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</row>
    <row r="3" spans="1:11" ht="17.25" x14ac:dyDescent="0.45">
      <c r="A3" s="233" t="str">
        <f>[4]BAPB!A4</f>
        <v>SEKOLAH DASAR NEGERI KEBON KOSONG 09 PAGI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</row>
    <row r="4" spans="1:11" ht="17.25" x14ac:dyDescent="0.45">
      <c r="A4" s="233" t="str">
        <f>HPS!A4</f>
        <v>Jl. Kemayoran Gempol no.32 RT 015.05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</row>
    <row r="5" spans="1:11" ht="14.65" thickBot="1" x14ac:dyDescent="0.5">
      <c r="A5" s="54"/>
      <c r="B5" s="54"/>
      <c r="C5" s="54"/>
      <c r="D5" s="232"/>
      <c r="E5" s="232"/>
      <c r="F5" s="232"/>
      <c r="G5" s="232"/>
      <c r="H5" s="232"/>
      <c r="I5" s="232"/>
      <c r="J5" s="55"/>
      <c r="K5" s="54"/>
    </row>
    <row r="6" spans="1:11" ht="14.65" thickTop="1" x14ac:dyDescent="0.45"/>
    <row r="9" spans="1:11" x14ac:dyDescent="0.45">
      <c r="A9" s="399" t="s">
        <v>182</v>
      </c>
      <c r="B9" s="399"/>
      <c r="C9" s="399"/>
      <c r="D9" s="399"/>
      <c r="E9" s="399"/>
      <c r="F9" s="399"/>
      <c r="G9" s="399"/>
      <c r="H9" s="399"/>
      <c r="I9" s="399"/>
      <c r="J9" s="399"/>
      <c r="K9" s="399"/>
    </row>
    <row r="10" spans="1:11" x14ac:dyDescent="0.45">
      <c r="A10" s="158"/>
      <c r="B10" s="158"/>
      <c r="C10" s="158"/>
      <c r="D10" s="158"/>
      <c r="E10" s="158"/>
      <c r="F10" s="400" t="s">
        <v>122</v>
      </c>
      <c r="G10" s="400"/>
      <c r="H10" s="158" t="s">
        <v>123</v>
      </c>
      <c r="I10" s="158"/>
      <c r="J10" s="158"/>
      <c r="K10" s="158"/>
    </row>
    <row r="11" spans="1:11" x14ac:dyDescent="0.45">
      <c r="A11" s="159"/>
      <c r="B11" s="160"/>
      <c r="C11" s="160"/>
      <c r="D11" s="160"/>
      <c r="E11" s="161"/>
      <c r="F11" s="161"/>
      <c r="G11" s="161"/>
      <c r="H11" s="161"/>
      <c r="I11" s="161"/>
      <c r="J11" s="160"/>
      <c r="K11" s="160"/>
    </row>
    <row r="12" spans="1:11" x14ac:dyDescent="0.45">
      <c r="A12" s="162"/>
      <c r="B12" s="61" t="str">
        <f>BAST!B11</f>
        <v>Pada hari ini, Selasa Tanggal Enam Belas bulan Juni Tahun Dua Ribu Dua Puluh Enam yang bertanda tangan dibawah ini :</v>
      </c>
      <c r="C12" s="61"/>
      <c r="D12" s="163"/>
      <c r="E12" s="163"/>
      <c r="F12" s="163"/>
      <c r="G12" s="163"/>
      <c r="H12" s="163"/>
      <c r="I12" s="163"/>
      <c r="J12" s="163"/>
      <c r="K12" s="163"/>
    </row>
    <row r="13" spans="1:11" x14ac:dyDescent="0.45">
      <c r="A13" s="162"/>
      <c r="B13" s="61"/>
      <c r="C13" s="61"/>
      <c r="D13" s="163"/>
      <c r="E13" s="163"/>
      <c r="F13" s="163"/>
      <c r="G13" s="163"/>
      <c r="H13" s="163"/>
      <c r="I13" s="163"/>
      <c r="J13" s="163"/>
      <c r="K13" s="163"/>
    </row>
    <row r="14" spans="1:11" x14ac:dyDescent="0.45">
      <c r="A14" s="162"/>
      <c r="B14" s="61"/>
      <c r="C14" s="61"/>
      <c r="D14" s="163"/>
      <c r="E14" s="163"/>
      <c r="F14" s="163"/>
      <c r="G14" s="163"/>
      <c r="H14" s="163"/>
      <c r="I14" s="163"/>
      <c r="J14" s="163"/>
      <c r="K14" s="163"/>
    </row>
    <row r="15" spans="1:11" ht="15.4" x14ac:dyDescent="0.45">
      <c r="A15" s="162"/>
      <c r="B15" s="164" t="str">
        <f>[2]BAST!B14</f>
        <v>Nama</v>
      </c>
      <c r="C15" s="165" t="str">
        <f>[2]BAPB!C23</f>
        <v>:</v>
      </c>
      <c r="D15" s="164" t="s">
        <v>207</v>
      </c>
      <c r="E15" s="166"/>
      <c r="F15" s="163"/>
      <c r="G15" s="163"/>
      <c r="H15" s="163"/>
      <c r="I15" s="163"/>
      <c r="J15" s="163"/>
      <c r="K15" s="163"/>
    </row>
    <row r="16" spans="1:11" ht="15.4" x14ac:dyDescent="0.45">
      <c r="A16" s="162"/>
      <c r="B16" s="164" t="str">
        <f>[2]BAST!B15</f>
        <v>Jabatan</v>
      </c>
      <c r="C16" s="165" t="str">
        <f>[2]BAPB!C24</f>
        <v>:</v>
      </c>
      <c r="D16" s="164" t="str">
        <f>[2]BAST!D15</f>
        <v>Direktur Utama</v>
      </c>
      <c r="E16" s="166"/>
      <c r="F16" s="163"/>
      <c r="G16" s="163"/>
      <c r="H16" s="163"/>
      <c r="I16" s="163"/>
      <c r="J16" s="163"/>
      <c r="K16" s="163"/>
    </row>
    <row r="17" spans="1:11" ht="15.4" x14ac:dyDescent="0.45">
      <c r="A17" s="162"/>
      <c r="B17" s="164" t="str">
        <f>[2]BAPB!B25</f>
        <v>Alamat</v>
      </c>
      <c r="C17" s="165" t="str">
        <f>[2]BAPB!C25</f>
        <v>:</v>
      </c>
      <c r="D17" s="164" t="str">
        <f>[2]BAPB!D25</f>
        <v>Wisma Mitra Sunter 3-03</v>
      </c>
      <c r="E17" s="166"/>
      <c r="F17" s="162"/>
      <c r="G17" s="162"/>
      <c r="H17" s="162"/>
      <c r="I17" s="162"/>
      <c r="J17" s="162"/>
      <c r="K17" s="162"/>
    </row>
    <row r="18" spans="1:11" ht="15.4" x14ac:dyDescent="0.45">
      <c r="A18" s="162"/>
      <c r="B18" s="164"/>
      <c r="C18" s="164"/>
      <c r="D18" s="164" t="str">
        <f>[2]BAPB!D26</f>
        <v>Jl. Yos Sudarso Kav. 89, Boulevard Mitra Sunter Blok C2, Sunter Jaya, Tanjung Priok</v>
      </c>
      <c r="E18" s="166"/>
      <c r="F18" s="162"/>
      <c r="G18" s="162"/>
      <c r="H18" s="162"/>
      <c r="I18" s="162"/>
      <c r="J18" s="162"/>
      <c r="K18" s="162"/>
    </row>
    <row r="19" spans="1:11" ht="15.4" x14ac:dyDescent="0.45">
      <c r="A19" s="162"/>
      <c r="B19" s="164"/>
      <c r="C19" s="164"/>
      <c r="D19" s="164"/>
      <c r="E19" s="166"/>
      <c r="F19" s="162"/>
      <c r="G19" s="162"/>
      <c r="H19" s="162"/>
      <c r="I19" s="162"/>
      <c r="J19" s="162"/>
      <c r="K19" s="162"/>
    </row>
    <row r="20" spans="1:11" x14ac:dyDescent="0.45">
      <c r="A20" s="162"/>
      <c r="B20" s="61" t="s">
        <v>183</v>
      </c>
      <c r="C20" s="61"/>
      <c r="D20" s="163"/>
      <c r="F20" s="163"/>
      <c r="G20" s="163"/>
      <c r="H20" s="163"/>
      <c r="I20" s="163"/>
      <c r="J20" s="163"/>
      <c r="K20" s="163"/>
    </row>
    <row r="21" spans="1:11" x14ac:dyDescent="0.45">
      <c r="A21" s="162"/>
      <c r="B21" s="61"/>
      <c r="C21" s="61"/>
      <c r="D21" s="163"/>
      <c r="F21" s="163"/>
      <c r="G21" s="163"/>
      <c r="H21" s="163"/>
      <c r="I21" s="163"/>
      <c r="J21" s="163"/>
      <c r="K21" s="163"/>
    </row>
    <row r="22" spans="1:11" x14ac:dyDescent="0.45">
      <c r="A22" s="162"/>
      <c r="B22" s="61" t="str">
        <f>[2]BAST!B22</f>
        <v>Nama</v>
      </c>
      <c r="C22" s="62" t="s">
        <v>1</v>
      </c>
      <c r="D22" s="61" t="str">
        <f>BAST!D12</f>
        <v>Sulistiawati</v>
      </c>
      <c r="G22" s="163"/>
    </row>
    <row r="23" spans="1:11" x14ac:dyDescent="0.45">
      <c r="A23" s="162"/>
      <c r="B23" s="61" t="str">
        <f>[2]BAST!B23</f>
        <v>Jabatan</v>
      </c>
      <c r="C23" s="62" t="s">
        <v>1</v>
      </c>
      <c r="D23" s="61" t="str">
        <f>BAST!D13</f>
        <v>Pengurus Barang</v>
      </c>
      <c r="G23" s="163"/>
    </row>
    <row r="24" spans="1:11" x14ac:dyDescent="0.45">
      <c r="A24" s="162"/>
      <c r="B24" s="61" t="str">
        <f>[2]BAST!B24</f>
        <v>NIP</v>
      </c>
      <c r="C24" s="62" t="s">
        <v>1</v>
      </c>
      <c r="D24" s="61" t="str">
        <f>BAST!D14</f>
        <v>197909092022212008</v>
      </c>
      <c r="G24" s="163"/>
    </row>
    <row r="25" spans="1:11" x14ac:dyDescent="0.45">
      <c r="A25" s="162"/>
      <c r="B25" s="61" t="str">
        <f>[2]BAST!B25</f>
        <v>Instansi</v>
      </c>
      <c r="C25" s="62" t="s">
        <v>1</v>
      </c>
      <c r="D25" s="61" t="str">
        <f>BAST!D15</f>
        <v>SDN Kebon Kosong 09</v>
      </c>
      <c r="G25" s="163"/>
    </row>
    <row r="26" spans="1:11" x14ac:dyDescent="0.45">
      <c r="A26" s="162"/>
      <c r="B26" s="61" t="str">
        <f>[2]BAST!B26</f>
        <v>Alamat</v>
      </c>
      <c r="C26" s="167" t="s">
        <v>1</v>
      </c>
      <c r="D26" s="61" t="str">
        <f>BAST!D16</f>
        <v>Jl. Kemayoran Gempol no.32</v>
      </c>
      <c r="G26" s="163"/>
      <c r="H26" s="163"/>
      <c r="I26" s="163"/>
      <c r="J26" s="163"/>
      <c r="K26" s="163"/>
    </row>
    <row r="27" spans="1:11" x14ac:dyDescent="0.45">
      <c r="A27" s="162"/>
      <c r="D27" s="61"/>
      <c r="G27" s="163"/>
      <c r="H27" s="163"/>
      <c r="I27" s="163"/>
      <c r="J27" s="163"/>
      <c r="K27" s="163"/>
    </row>
    <row r="28" spans="1:11" x14ac:dyDescent="0.45">
      <c r="A28" s="162"/>
      <c r="B28" s="61" t="s">
        <v>184</v>
      </c>
      <c r="C28" s="162"/>
      <c r="D28" s="162"/>
      <c r="E28" s="162"/>
      <c r="F28" s="162"/>
      <c r="G28" s="162"/>
      <c r="H28" s="162"/>
      <c r="I28" s="162"/>
      <c r="J28" s="162"/>
      <c r="K28" s="162"/>
    </row>
    <row r="29" spans="1:11" x14ac:dyDescent="0.45">
      <c r="A29" s="162"/>
      <c r="B29" s="162"/>
      <c r="C29" s="61"/>
      <c r="D29" s="163"/>
      <c r="E29" s="163"/>
      <c r="F29" s="163"/>
      <c r="G29" s="163"/>
      <c r="H29" s="163"/>
      <c r="I29" s="163"/>
      <c r="J29" s="163"/>
      <c r="K29" s="163"/>
    </row>
    <row r="30" spans="1:11" x14ac:dyDescent="0.45">
      <c r="A30" s="162"/>
      <c r="B30" s="162" t="s">
        <v>185</v>
      </c>
      <c r="D30" s="61" t="s">
        <v>1</v>
      </c>
      <c r="E30" s="163"/>
      <c r="F30" s="163"/>
      <c r="G30" s="163"/>
      <c r="H30" s="163"/>
      <c r="I30" s="163"/>
      <c r="J30" s="163"/>
      <c r="K30" s="163"/>
    </row>
    <row r="31" spans="1:11" x14ac:dyDescent="0.45">
      <c r="A31" s="162"/>
      <c r="B31" s="168" t="s">
        <v>186</v>
      </c>
      <c r="C31" s="61" t="s">
        <v>49</v>
      </c>
      <c r="D31" s="163"/>
      <c r="E31" s="401" t="str">
        <f>'[2]SURAT PESANAN'!L9</f>
        <v xml:space="preserve">     /PK.03.00</v>
      </c>
      <c r="F31" s="401"/>
      <c r="G31" s="401"/>
      <c r="H31" s="163" t="s">
        <v>187</v>
      </c>
      <c r="I31" s="169">
        <f>'SURAT PESANAN (2)'!J39</f>
        <v>46198</v>
      </c>
      <c r="J31" s="163"/>
      <c r="K31" s="163"/>
    </row>
    <row r="32" spans="1:11" x14ac:dyDescent="0.45">
      <c r="A32" s="162"/>
      <c r="B32" s="170" t="s">
        <v>157</v>
      </c>
      <c r="C32" s="398" t="s">
        <v>188</v>
      </c>
      <c r="D32" s="398"/>
      <c r="E32" s="398"/>
      <c r="F32" s="398"/>
      <c r="G32" s="398"/>
      <c r="H32" s="401" t="str">
        <f>BAST!A9</f>
        <v>No :         /PK.03.00</v>
      </c>
      <c r="I32" s="401"/>
      <c r="J32" s="163" t="s">
        <v>134</v>
      </c>
      <c r="K32" s="171">
        <f>FAKTUR!N6</f>
        <v>46189</v>
      </c>
    </row>
    <row r="33" spans="1:11" x14ac:dyDescent="0.45">
      <c r="A33" s="162"/>
      <c r="B33" s="162"/>
      <c r="C33" s="61"/>
      <c r="D33" s="163"/>
      <c r="E33" s="163"/>
      <c r="F33" s="163"/>
      <c r="G33" s="163"/>
      <c r="H33" s="163"/>
      <c r="I33" s="163"/>
      <c r="J33" s="163"/>
      <c r="K33" s="163"/>
    </row>
    <row r="34" spans="1:11" x14ac:dyDescent="0.45">
      <c r="A34" s="162"/>
      <c r="B34" s="162" t="s">
        <v>189</v>
      </c>
      <c r="C34" s="61"/>
      <c r="D34" s="163"/>
      <c r="E34" s="163"/>
      <c r="F34" s="163"/>
      <c r="G34" s="163"/>
      <c r="H34" s="163"/>
      <c r="I34" s="163"/>
      <c r="J34" s="163"/>
      <c r="K34" s="163"/>
    </row>
    <row r="35" spans="1:11" x14ac:dyDescent="0.45">
      <c r="A35" s="162"/>
      <c r="B35" s="162" t="s">
        <v>190</v>
      </c>
      <c r="C35" s="398" t="str">
        <f>'[2]SURAT PESANAN'!E63</f>
        <v>Pembelian Alat Kebersihan Maret</v>
      </c>
      <c r="D35" s="398"/>
      <c r="E35" s="398"/>
      <c r="F35" s="163" t="s">
        <v>191</v>
      </c>
      <c r="G35" s="163"/>
      <c r="H35" s="163"/>
      <c r="I35" s="163"/>
      <c r="J35" s="163"/>
      <c r="K35" s="163"/>
    </row>
    <row r="36" spans="1:11" x14ac:dyDescent="0.45">
      <c r="A36" s="162"/>
      <c r="B36" s="162" t="s">
        <v>192</v>
      </c>
      <c r="C36" s="61"/>
      <c r="D36" s="163"/>
      <c r="E36" s="163"/>
      <c r="F36" s="163"/>
      <c r="G36" s="163"/>
      <c r="H36" s="163"/>
      <c r="I36" s="163"/>
      <c r="J36" s="163"/>
      <c r="K36" s="163"/>
    </row>
    <row r="37" spans="1:11" x14ac:dyDescent="0.45">
      <c r="A37" s="162"/>
      <c r="B37" s="162"/>
      <c r="C37" s="61"/>
      <c r="D37" s="163"/>
      <c r="E37" s="163"/>
      <c r="F37" s="163"/>
      <c r="G37" s="163"/>
      <c r="H37" s="163"/>
      <c r="I37" s="163"/>
      <c r="J37" s="163"/>
      <c r="K37" s="163"/>
    </row>
    <row r="38" spans="1:11" x14ac:dyDescent="0.45">
      <c r="A38" s="162"/>
      <c r="B38" s="162"/>
      <c r="C38" s="61" t="s">
        <v>193</v>
      </c>
      <c r="D38" s="163"/>
      <c r="E38" s="163"/>
      <c r="F38" s="163"/>
      <c r="G38" s="163"/>
      <c r="H38" s="163"/>
      <c r="I38" s="163"/>
      <c r="J38" s="163"/>
      <c r="K38" s="163"/>
    </row>
    <row r="39" spans="1:11" x14ac:dyDescent="0.45">
      <c r="A39" s="162"/>
      <c r="B39" s="162"/>
      <c r="C39" s="61"/>
      <c r="D39" s="163"/>
      <c r="E39" s="163"/>
      <c r="F39" s="163"/>
      <c r="G39" s="163"/>
      <c r="H39" s="163"/>
      <c r="I39" s="163"/>
      <c r="J39" s="163"/>
      <c r="K39" s="163"/>
    </row>
    <row r="40" spans="1:11" x14ac:dyDescent="0.45">
      <c r="A40" s="162"/>
      <c r="B40" s="162" t="s">
        <v>42</v>
      </c>
      <c r="C40" s="61"/>
      <c r="D40" s="163"/>
      <c r="E40" s="163"/>
      <c r="F40" s="163"/>
      <c r="G40" s="163"/>
      <c r="H40" s="163"/>
      <c r="I40" s="163"/>
      <c r="J40" s="163" t="s">
        <v>194</v>
      </c>
      <c r="K40" s="163"/>
    </row>
    <row r="41" spans="1:11" x14ac:dyDescent="0.45">
      <c r="A41" s="162"/>
      <c r="B41" s="162" t="s">
        <v>195</v>
      </c>
      <c r="C41" s="61"/>
      <c r="D41" s="163"/>
      <c r="E41" s="163"/>
      <c r="F41" s="163"/>
      <c r="G41" s="163"/>
      <c r="H41" s="163"/>
      <c r="I41" s="163"/>
      <c r="J41" s="163" t="s">
        <v>196</v>
      </c>
      <c r="K41" s="163"/>
    </row>
    <row r="42" spans="1:11" x14ac:dyDescent="0.45">
      <c r="A42" s="162"/>
      <c r="B42" s="162" t="s">
        <v>197</v>
      </c>
      <c r="C42" s="61" t="str">
        <f>D25</f>
        <v>SDN Kebon Kosong 09</v>
      </c>
      <c r="D42" s="163"/>
      <c r="E42" s="163"/>
      <c r="F42" s="163"/>
      <c r="G42" s="163"/>
      <c r="H42" s="163"/>
      <c r="I42" s="163"/>
      <c r="J42" s="163" t="str">
        <f>[2]BAST!B58</f>
        <v>Direktur Utama</v>
      </c>
      <c r="K42" s="163"/>
    </row>
    <row r="43" spans="1:11" x14ac:dyDescent="0.45">
      <c r="A43" s="162"/>
      <c r="B43" s="162"/>
      <c r="C43" s="61"/>
      <c r="D43" s="163"/>
      <c r="E43" s="163"/>
      <c r="F43" s="163"/>
      <c r="G43" s="163"/>
      <c r="H43" s="163"/>
      <c r="I43" s="163"/>
      <c r="J43" s="163"/>
      <c r="K43" s="163"/>
    </row>
    <row r="44" spans="1:11" x14ac:dyDescent="0.45">
      <c r="A44" s="162"/>
      <c r="B44" s="162"/>
      <c r="C44" s="61"/>
      <c r="D44" s="163"/>
      <c r="E44" s="163"/>
      <c r="F44" s="163"/>
      <c r="G44" s="163"/>
      <c r="H44" s="163"/>
      <c r="I44" s="163"/>
      <c r="J44" s="163"/>
      <c r="K44" s="163"/>
    </row>
    <row r="45" spans="1:11" x14ac:dyDescent="0.45">
      <c r="A45" s="162"/>
      <c r="B45" s="162"/>
      <c r="C45" s="61"/>
      <c r="D45" s="163"/>
      <c r="E45" s="163"/>
      <c r="F45" s="163"/>
      <c r="G45" s="163"/>
      <c r="H45" s="163"/>
      <c r="I45" s="163"/>
      <c r="J45" s="163"/>
      <c r="K45" s="163"/>
    </row>
    <row r="46" spans="1:11" x14ac:dyDescent="0.45">
      <c r="A46" s="162"/>
      <c r="B46" s="162"/>
      <c r="C46" s="61"/>
      <c r="D46" s="163"/>
      <c r="E46" s="163"/>
      <c r="F46" s="163"/>
      <c r="G46" s="163"/>
      <c r="H46" s="163"/>
      <c r="I46" s="163"/>
      <c r="J46" s="163"/>
      <c r="K46" s="163"/>
    </row>
    <row r="47" spans="1:11" x14ac:dyDescent="0.45">
      <c r="A47" s="162"/>
      <c r="B47" s="162"/>
      <c r="C47" s="61"/>
      <c r="D47" s="163"/>
      <c r="E47" s="163"/>
      <c r="F47" s="163"/>
      <c r="G47" s="163"/>
      <c r="H47" s="163"/>
      <c r="I47" s="163"/>
      <c r="J47" s="163"/>
      <c r="K47" s="163"/>
    </row>
    <row r="48" spans="1:11" x14ac:dyDescent="0.45">
      <c r="A48" s="162"/>
      <c r="B48" s="172" t="str">
        <f>'SURAT PESANAN (2)'!I48</f>
        <v>Khairunnisa</v>
      </c>
      <c r="C48" s="61"/>
      <c r="D48" s="163"/>
      <c r="E48" s="163"/>
      <c r="F48" s="163"/>
      <c r="G48" s="163"/>
      <c r="H48" s="163"/>
      <c r="I48" s="163"/>
      <c r="J48" s="163" t="str">
        <f>BAST!J53</f>
        <v>Bambang Solifian</v>
      </c>
      <c r="K48" s="163"/>
    </row>
    <row r="49" spans="1:11" x14ac:dyDescent="0.45">
      <c r="A49" s="162"/>
      <c r="B49" s="162" t="str">
        <f>'SURAT PESANAN (2)'!I49</f>
        <v>NIP. 198402112011012010</v>
      </c>
      <c r="C49" s="61"/>
      <c r="D49" s="163"/>
      <c r="E49" s="163"/>
      <c r="F49" s="163"/>
      <c r="G49" s="163"/>
      <c r="H49" s="163"/>
      <c r="I49" s="163"/>
      <c r="K49" s="163"/>
    </row>
    <row r="50" spans="1:11" x14ac:dyDescent="0.45">
      <c r="A50" s="162"/>
      <c r="B50" s="162"/>
      <c r="C50" s="61"/>
      <c r="D50" s="163"/>
      <c r="E50" s="163"/>
      <c r="F50" s="163"/>
      <c r="G50" s="163"/>
      <c r="H50" s="163"/>
      <c r="I50" s="163"/>
      <c r="J50" s="163"/>
      <c r="K50" s="163"/>
    </row>
    <row r="51" spans="1:11" x14ac:dyDescent="0.45">
      <c r="A51" s="162"/>
      <c r="B51" s="162"/>
      <c r="C51" s="61"/>
      <c r="D51" s="163"/>
      <c r="E51" s="163"/>
      <c r="F51" s="163"/>
      <c r="G51" s="163"/>
      <c r="H51" s="163"/>
      <c r="I51" s="163"/>
      <c r="J51" s="163"/>
      <c r="K51" s="163"/>
    </row>
    <row r="52" spans="1:11" x14ac:dyDescent="0.45">
      <c r="A52" s="162"/>
      <c r="B52" s="162"/>
      <c r="C52" s="61"/>
      <c r="D52" s="163"/>
      <c r="E52" s="163"/>
      <c r="F52" s="163"/>
      <c r="G52" s="163"/>
      <c r="H52" s="163"/>
      <c r="I52" s="163"/>
      <c r="J52" s="163"/>
      <c r="K52" s="163"/>
    </row>
    <row r="53" spans="1:11" x14ac:dyDescent="0.45">
      <c r="A53" s="162"/>
      <c r="B53" s="162"/>
      <c r="C53" s="61"/>
      <c r="D53" s="163"/>
      <c r="E53" s="163"/>
      <c r="F53" s="163"/>
      <c r="G53" s="163"/>
      <c r="H53" s="163"/>
      <c r="I53" s="163"/>
      <c r="J53" s="163"/>
      <c r="K53" s="163"/>
    </row>
    <row r="54" spans="1:11" x14ac:dyDescent="0.45">
      <c r="A54" s="162"/>
      <c r="B54" s="162"/>
      <c r="C54" s="61"/>
      <c r="D54" s="163"/>
      <c r="E54" s="163"/>
      <c r="F54" s="163"/>
      <c r="G54" s="163"/>
      <c r="H54" s="163"/>
      <c r="I54" s="163"/>
      <c r="J54" s="163"/>
      <c r="K54" s="163"/>
    </row>
    <row r="55" spans="1:11" x14ac:dyDescent="0.45">
      <c r="A55" s="162"/>
      <c r="B55" s="162"/>
      <c r="C55" s="61"/>
      <c r="D55" s="163"/>
      <c r="E55" s="163"/>
      <c r="F55" s="163"/>
      <c r="G55" s="163"/>
      <c r="H55" s="163"/>
      <c r="I55" s="163"/>
      <c r="J55" s="163"/>
      <c r="K55" s="163"/>
    </row>
    <row r="56" spans="1:11" x14ac:dyDescent="0.45">
      <c r="A56" s="162"/>
      <c r="B56" s="162"/>
      <c r="C56" s="61"/>
      <c r="D56" s="163"/>
      <c r="E56" s="163"/>
      <c r="F56" s="163"/>
      <c r="G56" s="163"/>
      <c r="H56" s="163"/>
      <c r="I56" s="163"/>
      <c r="J56" s="163"/>
      <c r="K56" s="163"/>
    </row>
    <row r="57" spans="1:11" x14ac:dyDescent="0.45">
      <c r="A57" s="162"/>
      <c r="B57" s="162"/>
      <c r="C57" s="61"/>
      <c r="D57" s="163"/>
      <c r="E57" s="163"/>
      <c r="F57" s="163"/>
      <c r="G57" s="163"/>
      <c r="H57" s="163"/>
      <c r="I57" s="163"/>
      <c r="J57" s="163"/>
      <c r="K57" s="163"/>
    </row>
    <row r="58" spans="1:11" x14ac:dyDescent="0.45">
      <c r="A58" s="162"/>
      <c r="B58" s="162"/>
      <c r="C58" s="61"/>
      <c r="D58" s="163"/>
      <c r="E58" s="163"/>
      <c r="F58" s="163"/>
      <c r="G58" s="163"/>
      <c r="H58" s="163"/>
      <c r="I58" s="163"/>
      <c r="J58" s="163"/>
      <c r="K58" s="163"/>
    </row>
    <row r="59" spans="1:11" x14ac:dyDescent="0.45">
      <c r="A59" s="162"/>
      <c r="B59" s="162"/>
      <c r="C59" s="61"/>
      <c r="D59" s="163"/>
      <c r="E59" s="163"/>
      <c r="F59" s="163"/>
      <c r="G59" s="163"/>
      <c r="H59" s="163"/>
      <c r="I59" s="163"/>
      <c r="J59" s="163"/>
      <c r="K59" s="163"/>
    </row>
  </sheetData>
  <mergeCells count="11">
    <mergeCell ref="A1:K1"/>
    <mergeCell ref="A2:K2"/>
    <mergeCell ref="A3:K3"/>
    <mergeCell ref="A4:K4"/>
    <mergeCell ref="D5:I5"/>
    <mergeCell ref="C35:E35"/>
    <mergeCell ref="A9:K9"/>
    <mergeCell ref="F10:G10"/>
    <mergeCell ref="E31:G31"/>
    <mergeCell ref="C32:G32"/>
    <mergeCell ref="H32:I32"/>
  </mergeCells>
  <pageMargins left="0.19685039370078741" right="0.19685039370078741" top="0.39370078740157483" bottom="0.39370078740157483" header="0.11811023622047244" footer="0.11811023622047244"/>
  <pageSetup paperSize="9" scale="83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M46"/>
  <sheetViews>
    <sheetView view="pageBreakPreview" zoomScale="102" zoomScaleNormal="102" zoomScaleSheetLayoutView="102" workbookViewId="0">
      <selection activeCell="H20" sqref="H20:J20"/>
    </sheetView>
  </sheetViews>
  <sheetFormatPr defaultRowHeight="14.25" x14ac:dyDescent="0.45"/>
  <cols>
    <col min="1" max="1" width="4.73046875" customWidth="1"/>
    <col min="5" max="5" width="8" customWidth="1"/>
    <col min="6" max="6" width="7.3984375" customWidth="1"/>
    <col min="7" max="7" width="7.265625" customWidth="1"/>
    <col min="8" max="8" width="8.3984375" customWidth="1"/>
    <col min="9" max="9" width="2.3984375" customWidth="1"/>
    <col min="10" max="10" width="8.1328125" customWidth="1"/>
    <col min="12" max="12" width="10.59765625" customWidth="1"/>
    <col min="13" max="13" width="10.3984375" customWidth="1"/>
  </cols>
  <sheetData>
    <row r="2" spans="1:13" x14ac:dyDescent="0.45">
      <c r="H2" t="s">
        <v>46</v>
      </c>
      <c r="I2" t="s">
        <v>1</v>
      </c>
      <c r="J2" t="s">
        <v>198</v>
      </c>
    </row>
    <row r="3" spans="1:13" x14ac:dyDescent="0.45">
      <c r="H3" t="s">
        <v>199</v>
      </c>
      <c r="I3" t="s">
        <v>1</v>
      </c>
      <c r="J3" t="str">
        <f>BAPP!H10</f>
        <v xml:space="preserve">         /PK.03.00</v>
      </c>
    </row>
    <row r="4" spans="1:13" x14ac:dyDescent="0.45">
      <c r="H4" t="s">
        <v>134</v>
      </c>
      <c r="I4" t="s">
        <v>1</v>
      </c>
      <c r="J4" s="426">
        <f>FAKTUR!L4</f>
        <v>46189</v>
      </c>
      <c r="K4" s="426"/>
      <c r="L4" s="426"/>
    </row>
    <row r="6" spans="1:13" x14ac:dyDescent="0.45">
      <c r="A6" s="382" t="s">
        <v>200</v>
      </c>
      <c r="B6" s="382"/>
      <c r="C6" s="382"/>
      <c r="D6" s="382"/>
      <c r="E6" s="382"/>
      <c r="F6" s="382"/>
      <c r="G6" s="382"/>
      <c r="H6" s="382"/>
      <c r="I6" s="382"/>
      <c r="J6" s="382"/>
      <c r="K6" s="382"/>
      <c r="L6" s="382"/>
      <c r="M6" s="382"/>
    </row>
    <row r="7" spans="1:13" x14ac:dyDescent="0.45">
      <c r="A7" s="427" t="s">
        <v>201</v>
      </c>
      <c r="B7" s="427"/>
      <c r="C7" s="427"/>
      <c r="D7" s="427"/>
      <c r="E7" s="427"/>
      <c r="F7" s="427"/>
      <c r="G7" t="str">
        <f>'[2]SURAT PESANAN'!E12</f>
        <v>Pembelian Alat Kebersihan Maret</v>
      </c>
    </row>
    <row r="9" spans="1:13" x14ac:dyDescent="0.45">
      <c r="A9" s="49" t="s">
        <v>50</v>
      </c>
      <c r="B9" s="249" t="s">
        <v>141</v>
      </c>
      <c r="C9" s="249"/>
      <c r="D9" s="249"/>
      <c r="E9" s="49" t="s">
        <v>68</v>
      </c>
      <c r="F9" s="249" t="s">
        <v>69</v>
      </c>
      <c r="G9" s="249"/>
      <c r="H9" s="249" t="s">
        <v>78</v>
      </c>
      <c r="I9" s="249"/>
      <c r="J9" s="249"/>
      <c r="K9" s="410" t="s">
        <v>202</v>
      </c>
      <c r="L9" s="412"/>
      <c r="M9" s="365" t="s">
        <v>87</v>
      </c>
    </row>
    <row r="10" spans="1:13" x14ac:dyDescent="0.45">
      <c r="A10" s="49">
        <v>1</v>
      </c>
      <c r="B10" s="249">
        <v>2</v>
      </c>
      <c r="C10" s="249"/>
      <c r="D10" s="249"/>
      <c r="E10" s="49">
        <v>3</v>
      </c>
      <c r="F10" s="249">
        <v>4</v>
      </c>
      <c r="G10" s="249"/>
      <c r="H10" s="249">
        <v>5</v>
      </c>
      <c r="I10" s="249"/>
      <c r="J10" s="249"/>
      <c r="K10" s="49" t="s">
        <v>104</v>
      </c>
      <c r="L10" s="49" t="s">
        <v>203</v>
      </c>
      <c r="M10" s="365"/>
    </row>
    <row r="11" spans="1:13" x14ac:dyDescent="0.45">
      <c r="A11" s="173">
        <f>[2]BAST!B33</f>
        <v>1</v>
      </c>
      <c r="B11" s="402" t="str">
        <f>HPS!C17</f>
        <v>glass cleaner</v>
      </c>
      <c r="C11" s="403"/>
      <c r="D11" s="404"/>
      <c r="E11" s="173">
        <f>HPS!F17</f>
        <v>15</v>
      </c>
      <c r="F11" s="405">
        <f>HPS!I17</f>
        <v>16000</v>
      </c>
      <c r="G11" s="406"/>
      <c r="H11" s="405">
        <f>E11*F11</f>
        <v>240000</v>
      </c>
      <c r="I11" s="407"/>
      <c r="J11" s="406"/>
      <c r="K11" s="174" t="s">
        <v>204</v>
      </c>
      <c r="L11" s="175"/>
      <c r="M11" s="175"/>
    </row>
    <row r="12" spans="1:13" x14ac:dyDescent="0.45">
      <c r="A12" s="173">
        <v>2</v>
      </c>
      <c r="B12" s="402"/>
      <c r="C12" s="403"/>
      <c r="D12" s="404"/>
      <c r="E12" s="173"/>
      <c r="F12" s="405"/>
      <c r="G12" s="406"/>
      <c r="H12" s="405"/>
      <c r="I12" s="407"/>
      <c r="J12" s="406"/>
      <c r="K12" s="174"/>
      <c r="L12" s="175"/>
      <c r="M12" s="175"/>
    </row>
    <row r="13" spans="1:13" ht="15" customHeight="1" x14ac:dyDescent="0.45">
      <c r="A13" s="173">
        <v>3</v>
      </c>
      <c r="B13" s="402"/>
      <c r="C13" s="403"/>
      <c r="D13" s="404"/>
      <c r="E13" s="173"/>
      <c r="F13" s="405"/>
      <c r="G13" s="406"/>
      <c r="H13" s="405"/>
      <c r="I13" s="407"/>
      <c r="J13" s="406"/>
      <c r="K13" s="174"/>
      <c r="L13" s="175"/>
      <c r="M13" s="175"/>
    </row>
    <row r="14" spans="1:13" x14ac:dyDescent="0.45">
      <c r="A14" s="173">
        <v>4</v>
      </c>
      <c r="B14" s="402"/>
      <c r="C14" s="403"/>
      <c r="D14" s="404"/>
      <c r="E14" s="173"/>
      <c r="F14" s="405"/>
      <c r="G14" s="406"/>
      <c r="H14" s="405"/>
      <c r="I14" s="407"/>
      <c r="J14" s="406"/>
      <c r="K14" s="174"/>
      <c r="L14" s="175"/>
      <c r="M14" s="175"/>
    </row>
    <row r="15" spans="1:13" ht="15" customHeight="1" x14ac:dyDescent="0.45">
      <c r="A15" s="173">
        <v>5</v>
      </c>
      <c r="B15" s="402"/>
      <c r="C15" s="403"/>
      <c r="D15" s="404"/>
      <c r="E15" s="173"/>
      <c r="F15" s="405"/>
      <c r="G15" s="406"/>
      <c r="H15" s="405"/>
      <c r="I15" s="407"/>
      <c r="J15" s="406"/>
      <c r="K15" s="174"/>
      <c r="L15" s="175"/>
      <c r="M15" s="175"/>
    </row>
    <row r="16" spans="1:13" x14ac:dyDescent="0.45">
      <c r="A16" s="173">
        <v>6</v>
      </c>
      <c r="B16" s="402"/>
      <c r="C16" s="403"/>
      <c r="D16" s="404"/>
      <c r="E16" s="173"/>
      <c r="F16" s="405"/>
      <c r="G16" s="406"/>
      <c r="H16" s="405"/>
      <c r="I16" s="407"/>
      <c r="J16" s="406"/>
      <c r="K16" s="174"/>
      <c r="L16" s="175"/>
      <c r="M16" s="175"/>
    </row>
    <row r="17" spans="1:13" x14ac:dyDescent="0.45">
      <c r="A17" s="173">
        <v>7</v>
      </c>
      <c r="B17" s="402"/>
      <c r="C17" s="403"/>
      <c r="D17" s="404"/>
      <c r="E17" s="173"/>
      <c r="F17" s="405"/>
      <c r="G17" s="406"/>
      <c r="H17" s="405"/>
      <c r="I17" s="407"/>
      <c r="J17" s="406"/>
      <c r="K17" s="174"/>
      <c r="L17" s="175"/>
      <c r="M17" s="175"/>
    </row>
    <row r="18" spans="1:13" ht="15" customHeight="1" x14ac:dyDescent="0.45">
      <c r="A18" s="173">
        <v>8</v>
      </c>
      <c r="B18" s="402"/>
      <c r="C18" s="403"/>
      <c r="D18" s="404"/>
      <c r="E18" s="173"/>
      <c r="F18" s="405"/>
      <c r="G18" s="406"/>
      <c r="H18" s="405"/>
      <c r="I18" s="407"/>
      <c r="J18" s="406"/>
      <c r="K18" s="174"/>
      <c r="L18" s="175"/>
      <c r="M18" s="175"/>
    </row>
    <row r="19" spans="1:13" ht="15" customHeight="1" x14ac:dyDescent="0.45">
      <c r="A19" s="173">
        <v>9</v>
      </c>
      <c r="B19" s="402"/>
      <c r="C19" s="403"/>
      <c r="D19" s="404"/>
      <c r="E19" s="173"/>
      <c r="F19" s="405"/>
      <c r="G19" s="406"/>
      <c r="H19" s="405"/>
      <c r="I19" s="407"/>
      <c r="J19" s="406"/>
      <c r="K19" s="174"/>
      <c r="L19" s="175"/>
      <c r="M19" s="175"/>
    </row>
    <row r="20" spans="1:13" ht="15" customHeight="1" x14ac:dyDescent="0.45">
      <c r="A20" s="173">
        <v>10</v>
      </c>
      <c r="B20" s="402"/>
      <c r="C20" s="403"/>
      <c r="D20" s="404"/>
      <c r="E20" s="173"/>
      <c r="F20" s="405"/>
      <c r="G20" s="406"/>
      <c r="H20" s="405"/>
      <c r="I20" s="407"/>
      <c r="J20" s="406"/>
      <c r="K20" s="174"/>
      <c r="L20" s="175"/>
      <c r="M20" s="175"/>
    </row>
    <row r="21" spans="1:13" ht="15" customHeight="1" x14ac:dyDescent="0.45">
      <c r="A21" s="173">
        <v>11</v>
      </c>
      <c r="B21" s="402"/>
      <c r="C21" s="403"/>
      <c r="D21" s="404"/>
      <c r="E21" s="173"/>
      <c r="F21" s="405"/>
      <c r="G21" s="406"/>
      <c r="H21" s="405"/>
      <c r="I21" s="407"/>
      <c r="J21" s="406"/>
      <c r="K21" s="174"/>
      <c r="L21" s="175"/>
      <c r="M21" s="175"/>
    </row>
    <row r="22" spans="1:13" ht="15" customHeight="1" x14ac:dyDescent="0.45">
      <c r="A22" s="173">
        <v>12</v>
      </c>
      <c r="B22" s="402"/>
      <c r="C22" s="403"/>
      <c r="D22" s="404"/>
      <c r="E22" s="173"/>
      <c r="F22" s="405"/>
      <c r="G22" s="406"/>
      <c r="H22" s="405"/>
      <c r="I22" s="407"/>
      <c r="J22" s="406"/>
      <c r="K22" s="174"/>
      <c r="L22" s="175"/>
      <c r="M22" s="175"/>
    </row>
    <row r="23" spans="1:13" ht="15" customHeight="1" x14ac:dyDescent="0.45">
      <c r="A23" s="173">
        <v>13</v>
      </c>
      <c r="B23" s="402"/>
      <c r="C23" s="403"/>
      <c r="D23" s="404"/>
      <c r="E23" s="173"/>
      <c r="F23" s="405"/>
      <c r="G23" s="406"/>
      <c r="H23" s="405"/>
      <c r="I23" s="407"/>
      <c r="J23" s="406"/>
      <c r="K23" s="174"/>
      <c r="L23" s="175"/>
      <c r="M23" s="175"/>
    </row>
    <row r="24" spans="1:13" ht="15" customHeight="1" x14ac:dyDescent="0.45">
      <c r="A24" s="173">
        <v>14</v>
      </c>
      <c r="B24" s="402"/>
      <c r="C24" s="403"/>
      <c r="D24" s="404"/>
      <c r="E24" s="173"/>
      <c r="F24" s="405"/>
      <c r="G24" s="406"/>
      <c r="H24" s="405"/>
      <c r="I24" s="407"/>
      <c r="J24" s="406"/>
      <c r="K24" s="174"/>
      <c r="L24" s="175"/>
      <c r="M24" s="175"/>
    </row>
    <row r="25" spans="1:13" ht="15" customHeight="1" x14ac:dyDescent="0.45">
      <c r="A25" s="173">
        <v>15</v>
      </c>
      <c r="B25" s="402"/>
      <c r="C25" s="403"/>
      <c r="D25" s="404"/>
      <c r="E25" s="173"/>
      <c r="F25" s="405"/>
      <c r="G25" s="406"/>
      <c r="H25" s="405"/>
      <c r="I25" s="407"/>
      <c r="J25" s="406"/>
      <c r="K25" s="174"/>
      <c r="L25" s="175"/>
      <c r="M25" s="175"/>
    </row>
    <row r="26" spans="1:13" x14ac:dyDescent="0.45">
      <c r="A26" s="173">
        <v>16</v>
      </c>
      <c r="B26" s="402"/>
      <c r="C26" s="403"/>
      <c r="D26" s="404"/>
      <c r="E26" s="173"/>
      <c r="F26" s="405"/>
      <c r="G26" s="406"/>
      <c r="H26" s="405"/>
      <c r="I26" s="407"/>
      <c r="J26" s="406"/>
      <c r="K26" s="174"/>
      <c r="L26" s="175"/>
      <c r="M26" s="175"/>
    </row>
    <row r="27" spans="1:13" x14ac:dyDescent="0.45">
      <c r="A27" s="173">
        <v>17</v>
      </c>
      <c r="B27" s="402"/>
      <c r="C27" s="403"/>
      <c r="D27" s="404"/>
      <c r="E27" s="173"/>
      <c r="F27" s="405"/>
      <c r="G27" s="406"/>
      <c r="H27" s="405"/>
      <c r="I27" s="407"/>
      <c r="J27" s="406"/>
      <c r="K27" s="174"/>
      <c r="L27" s="175"/>
      <c r="M27" s="175"/>
    </row>
    <row r="28" spans="1:13" x14ac:dyDescent="0.45">
      <c r="A28" s="249" t="s">
        <v>65</v>
      </c>
      <c r="B28" s="249"/>
      <c r="C28" s="249"/>
      <c r="D28" s="249"/>
      <c r="E28" s="249"/>
      <c r="F28" s="249"/>
      <c r="G28" s="249"/>
      <c r="H28" s="408">
        <f>SUM(H11:H27)</f>
        <v>240000</v>
      </c>
      <c r="I28" s="249"/>
      <c r="J28" s="249"/>
      <c r="K28" s="409"/>
      <c r="L28" s="409"/>
      <c r="M28" s="409"/>
    </row>
    <row r="29" spans="1:13" x14ac:dyDescent="0.45">
      <c r="A29" s="410" t="s">
        <v>107</v>
      </c>
      <c r="B29" s="411"/>
      <c r="C29" s="411"/>
      <c r="D29" s="411"/>
      <c r="E29" s="411"/>
      <c r="F29" s="411"/>
      <c r="G29" s="412"/>
      <c r="H29" s="413">
        <f>H28*11%</f>
        <v>26400</v>
      </c>
      <c r="I29" s="414"/>
      <c r="J29" s="415"/>
      <c r="K29" s="409"/>
      <c r="L29" s="409"/>
      <c r="M29" s="409"/>
    </row>
    <row r="30" spans="1:13" x14ac:dyDescent="0.45">
      <c r="A30" s="410" t="s">
        <v>146</v>
      </c>
      <c r="B30" s="411"/>
      <c r="C30" s="411"/>
      <c r="D30" s="411"/>
      <c r="E30" s="411"/>
      <c r="F30" s="411"/>
      <c r="G30" s="412"/>
      <c r="H30" s="425">
        <f>H28*1.5%</f>
        <v>3600</v>
      </c>
      <c r="I30" s="411"/>
      <c r="J30" s="412"/>
      <c r="K30" s="409"/>
      <c r="L30" s="409"/>
      <c r="M30" s="409"/>
    </row>
    <row r="31" spans="1:13" x14ac:dyDescent="0.45">
      <c r="A31" s="249" t="s">
        <v>147</v>
      </c>
      <c r="B31" s="249"/>
      <c r="C31" s="249"/>
      <c r="D31" s="249"/>
      <c r="E31" s="249"/>
      <c r="F31" s="249"/>
      <c r="G31" s="249"/>
      <c r="H31" s="413">
        <f>FAKTUR!M13</f>
        <v>0</v>
      </c>
      <c r="I31" s="414"/>
      <c r="J31" s="415"/>
      <c r="K31" s="409"/>
      <c r="L31" s="409"/>
      <c r="M31" s="409"/>
    </row>
    <row r="32" spans="1:13" x14ac:dyDescent="0.45">
      <c r="A32" s="249" t="s">
        <v>205</v>
      </c>
      <c r="B32" s="249"/>
      <c r="C32" s="249"/>
      <c r="D32" s="249"/>
      <c r="E32" s="249"/>
      <c r="F32" s="249"/>
      <c r="G32" s="249"/>
      <c r="H32" s="408">
        <f>FAKTUR!N22</f>
        <v>2536350</v>
      </c>
      <c r="I32" s="249"/>
      <c r="J32" s="249"/>
      <c r="K32" s="409"/>
      <c r="L32" s="409"/>
      <c r="M32" s="409"/>
    </row>
    <row r="33" spans="1:13" x14ac:dyDescent="0.45">
      <c r="A33" s="422" t="s">
        <v>175</v>
      </c>
      <c r="B33" s="423"/>
      <c r="C33" s="423"/>
      <c r="D33" s="423"/>
      <c r="E33" s="423"/>
      <c r="F33" s="423"/>
      <c r="G33" s="423"/>
      <c r="H33" s="423"/>
      <c r="I33" s="423"/>
      <c r="J33" s="424"/>
      <c r="K33" s="409"/>
      <c r="L33" s="409"/>
      <c r="M33" s="409"/>
    </row>
    <row r="34" spans="1:13" x14ac:dyDescent="0.45">
      <c r="A34" s="416" t="str">
        <f>KWITANSI!B14</f>
        <v>Dua Juta Lima Ratus Tiga Puluh Enam Ribu Tiga Ratus Lima Puluh Rupiah</v>
      </c>
      <c r="B34" s="417"/>
      <c r="C34" s="417"/>
      <c r="D34" s="417"/>
      <c r="E34" s="417"/>
      <c r="F34" s="417"/>
      <c r="G34" s="417"/>
      <c r="H34" s="417"/>
      <c r="I34" s="417"/>
      <c r="J34" s="418"/>
      <c r="K34" s="409"/>
      <c r="L34" s="409"/>
      <c r="M34" s="409"/>
    </row>
    <row r="35" spans="1:13" x14ac:dyDescent="0.45">
      <c r="A35" s="419"/>
      <c r="B35" s="420"/>
      <c r="C35" s="420"/>
      <c r="D35" s="420"/>
      <c r="E35" s="420"/>
      <c r="F35" s="420"/>
      <c r="G35" s="420"/>
      <c r="H35" s="420"/>
      <c r="I35" s="420"/>
      <c r="J35" s="421"/>
      <c r="K35" s="409"/>
      <c r="L35" s="409"/>
      <c r="M35" s="409"/>
    </row>
    <row r="37" spans="1:13" x14ac:dyDescent="0.45">
      <c r="B37" t="str">
        <f>[2]BAPP!B40</f>
        <v>PIHAK KEDUA</v>
      </c>
      <c r="K37" t="str">
        <f>[2]BAPP!J40</f>
        <v>PIHAK PERTAMA,</v>
      </c>
    </row>
    <row r="38" spans="1:13" x14ac:dyDescent="0.45">
      <c r="B38" t="str">
        <f>[2]BAPP!B41</f>
        <v>PENGGUNA ANGGARAN</v>
      </c>
      <c r="K38" t="str">
        <f>[2]BAPP!J41</f>
        <v>CV. Pustaka Cemerlang Indonesia</v>
      </c>
    </row>
    <row r="39" spans="1:13" x14ac:dyDescent="0.45">
      <c r="B39" t="str">
        <f>[2]BAPP!B42</f>
        <v>Kepala</v>
      </c>
      <c r="C39" t="str">
        <f>BAPP!C42</f>
        <v>SDN Kebon Kosong 09</v>
      </c>
      <c r="K39" t="str">
        <f>[2]BAPP!J42</f>
        <v>Direktur Utama</v>
      </c>
    </row>
    <row r="45" spans="1:13" x14ac:dyDescent="0.45">
      <c r="B45" s="75" t="str">
        <f>'SURAT PESANAN (2)'!I48</f>
        <v>Khairunnisa</v>
      </c>
      <c r="K45" t="str">
        <f>BAPP!J48</f>
        <v>Bambang Solifian</v>
      </c>
    </row>
    <row r="46" spans="1:13" x14ac:dyDescent="0.45">
      <c r="B46" t="str">
        <f>BAPB!F61</f>
        <v>NIP. 198402112011012010</v>
      </c>
    </row>
  </sheetData>
  <mergeCells count="75">
    <mergeCell ref="J4:L4"/>
    <mergeCell ref="A6:M6"/>
    <mergeCell ref="A7:F7"/>
    <mergeCell ref="B9:D9"/>
    <mergeCell ref="F9:G9"/>
    <mergeCell ref="H9:J9"/>
    <mergeCell ref="K9:L9"/>
    <mergeCell ref="M9:M10"/>
    <mergeCell ref="B10:D10"/>
    <mergeCell ref="F10:G10"/>
    <mergeCell ref="H10:J10"/>
    <mergeCell ref="B11:D11"/>
    <mergeCell ref="F11:G11"/>
    <mergeCell ref="H11:J11"/>
    <mergeCell ref="B12:D12"/>
    <mergeCell ref="F12:G12"/>
    <mergeCell ref="H12:J12"/>
    <mergeCell ref="B13:D13"/>
    <mergeCell ref="F13:G13"/>
    <mergeCell ref="H13:J13"/>
    <mergeCell ref="B14:D14"/>
    <mergeCell ref="F14:G14"/>
    <mergeCell ref="H14:J14"/>
    <mergeCell ref="B15:D15"/>
    <mergeCell ref="F15:G15"/>
    <mergeCell ref="H15:J15"/>
    <mergeCell ref="B16:D16"/>
    <mergeCell ref="F16:G16"/>
    <mergeCell ref="H16:J16"/>
    <mergeCell ref="B17:D17"/>
    <mergeCell ref="F17:G17"/>
    <mergeCell ref="H17:J17"/>
    <mergeCell ref="B18:D18"/>
    <mergeCell ref="F18:G18"/>
    <mergeCell ref="H18:J18"/>
    <mergeCell ref="B19:D19"/>
    <mergeCell ref="F19:G19"/>
    <mergeCell ref="H19:J19"/>
    <mergeCell ref="B20:D20"/>
    <mergeCell ref="F20:G20"/>
    <mergeCell ref="H20:J20"/>
    <mergeCell ref="B21:D21"/>
    <mergeCell ref="F21:G21"/>
    <mergeCell ref="H21:J21"/>
    <mergeCell ref="B22:D22"/>
    <mergeCell ref="F22:G22"/>
    <mergeCell ref="H22:J22"/>
    <mergeCell ref="B23:D23"/>
    <mergeCell ref="F23:G23"/>
    <mergeCell ref="H23:J23"/>
    <mergeCell ref="B26:D26"/>
    <mergeCell ref="F26:G26"/>
    <mergeCell ref="H26:J26"/>
    <mergeCell ref="B24:D24"/>
    <mergeCell ref="B25:D25"/>
    <mergeCell ref="F24:G24"/>
    <mergeCell ref="F25:G25"/>
    <mergeCell ref="H24:J24"/>
    <mergeCell ref="H25:J25"/>
    <mergeCell ref="K28:M35"/>
    <mergeCell ref="A29:G29"/>
    <mergeCell ref="H29:J29"/>
    <mergeCell ref="A30:G30"/>
    <mergeCell ref="H31:J31"/>
    <mergeCell ref="A34:J35"/>
    <mergeCell ref="A31:G31"/>
    <mergeCell ref="A32:G32"/>
    <mergeCell ref="H32:J32"/>
    <mergeCell ref="A33:J33"/>
    <mergeCell ref="H30:J30"/>
    <mergeCell ref="B27:D27"/>
    <mergeCell ref="F27:G27"/>
    <mergeCell ref="H27:J27"/>
    <mergeCell ref="A28:G28"/>
    <mergeCell ref="H28:J28"/>
  </mergeCells>
  <pageMargins left="0.39370078740157483" right="0.19685039370078741" top="0.39370078740157483" bottom="0.39370078740157483" header="0.11811023622047245" footer="0.11811023622047245"/>
  <pageSetup paperSize="9" scale="94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57"/>
  <sheetViews>
    <sheetView view="pageBreakPreview" zoomScaleNormal="85" zoomScaleSheetLayoutView="100" workbookViewId="0">
      <selection activeCell="J57" sqref="J57"/>
    </sheetView>
  </sheetViews>
  <sheetFormatPr defaultRowHeight="14.25" x14ac:dyDescent="0.45"/>
  <cols>
    <col min="1" max="1" width="1.1328125" customWidth="1"/>
    <col min="2" max="2" width="10.86328125" customWidth="1"/>
    <col min="3" max="3" width="1.73046875" customWidth="1"/>
    <col min="6" max="6" width="4.3984375" customWidth="1"/>
    <col min="9" max="9" width="12.73046875" customWidth="1"/>
    <col min="11" max="11" width="12" customWidth="1"/>
    <col min="13" max="13" width="11.73046875" customWidth="1"/>
  </cols>
  <sheetData>
    <row r="1" spans="1:14" ht="17.25" x14ac:dyDescent="0.45">
      <c r="A1" s="233" t="s">
        <v>52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</row>
    <row r="2" spans="1:14" ht="17.25" x14ac:dyDescent="0.45">
      <c r="A2" s="233" t="s">
        <v>51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</row>
    <row r="3" spans="1:14" ht="18" x14ac:dyDescent="0.55000000000000004">
      <c r="A3" s="433" t="s">
        <v>53</v>
      </c>
      <c r="B3" s="433"/>
      <c r="C3" s="433"/>
      <c r="D3" s="433"/>
      <c r="E3" s="433"/>
      <c r="F3" s="433"/>
      <c r="G3" s="433"/>
      <c r="H3" s="433"/>
      <c r="I3" s="433"/>
      <c r="J3" s="433"/>
      <c r="K3" s="433"/>
      <c r="L3" s="433"/>
      <c r="M3" s="433"/>
    </row>
    <row r="4" spans="1:14" ht="17.25" x14ac:dyDescent="0.45">
      <c r="A4" s="233" t="str">
        <f>BAPB!A4</f>
        <v>Jl. Kemayoran Gempol no.32 RT 015.05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</row>
    <row r="5" spans="1:14" ht="17.25" x14ac:dyDescent="0.45">
      <c r="A5" s="233">
        <f>BAPB!A5</f>
        <v>0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</row>
    <row r="6" spans="1:14" ht="14.65" thickBot="1" x14ac:dyDescent="0.5">
      <c r="A6" s="54"/>
      <c r="B6" s="54"/>
      <c r="C6" s="54"/>
      <c r="D6" s="232" t="str">
        <f>BAPB!D6</f>
        <v xml:space="preserve">       Jakarta Pusat 10630 email :sdnkk05pg@gmail.com</v>
      </c>
      <c r="E6" s="232"/>
      <c r="F6" s="232"/>
      <c r="G6" s="232"/>
      <c r="H6" s="232"/>
      <c r="I6" s="232"/>
      <c r="J6" s="55"/>
      <c r="K6" s="68">
        <f>BAPB!J6</f>
        <v>0</v>
      </c>
      <c r="L6" s="68"/>
      <c r="M6" s="68"/>
    </row>
    <row r="7" spans="1:14" ht="14.65" thickTop="1" x14ac:dyDescent="0.45"/>
    <row r="8" spans="1:14" ht="22.5" x14ac:dyDescent="0.45">
      <c r="A8" s="227" t="s">
        <v>30</v>
      </c>
      <c r="B8" s="227"/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/>
    </row>
    <row r="9" spans="1:14" ht="15" x14ac:dyDescent="0.45">
      <c r="A9" s="228" t="s">
        <v>110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</row>
    <row r="10" spans="1:14" ht="15" x14ac:dyDescent="0.45">
      <c r="A10" s="7"/>
      <c r="B10" s="52"/>
      <c r="C10" s="52"/>
      <c r="D10" s="52"/>
      <c r="E10" s="29"/>
      <c r="F10" s="29"/>
      <c r="G10" s="29"/>
      <c r="H10" s="29"/>
      <c r="I10" s="29"/>
      <c r="J10" s="52"/>
      <c r="K10" s="52"/>
    </row>
    <row r="11" spans="1:14" x14ac:dyDescent="0.45">
      <c r="A11" s="33"/>
      <c r="B11" s="32" t="str">
        <f>BAPB!B11</f>
        <v>Pada hari ini, Selasa Tanggal Enam Belas bulan Juni Tahun Dua Ribu Dua Puluh Enam yang bertanda tangan dibawah ini :</v>
      </c>
      <c r="C11" s="32"/>
      <c r="D11" s="31"/>
      <c r="E11" s="31"/>
      <c r="F11" s="31"/>
      <c r="G11" s="31"/>
      <c r="H11" s="31"/>
      <c r="I11" s="31"/>
      <c r="J11" s="31"/>
      <c r="K11" s="31"/>
    </row>
    <row r="12" spans="1:14" x14ac:dyDescent="0.45">
      <c r="A12" s="33"/>
      <c r="B12" s="32" t="str">
        <f>BAPB!B20</f>
        <v>Nama</v>
      </c>
      <c r="C12" s="32" t="s">
        <v>1</v>
      </c>
      <c r="D12" s="32" t="str">
        <f>BAPB!D20</f>
        <v>Bambang Solifian</v>
      </c>
      <c r="E12" s="31"/>
      <c r="F12" s="31"/>
      <c r="G12" s="31"/>
      <c r="H12" s="31"/>
      <c r="I12" s="31"/>
      <c r="J12" s="31"/>
      <c r="K12" s="31"/>
    </row>
    <row r="13" spans="1:14" x14ac:dyDescent="0.45">
      <c r="A13" s="33"/>
      <c r="B13" s="32" t="str">
        <f>BAPB!B21</f>
        <v>Jabatan</v>
      </c>
      <c r="C13" s="32" t="s">
        <v>1</v>
      </c>
      <c r="D13" s="32" t="str">
        <f>BAPB!D21</f>
        <v>Direktur</v>
      </c>
      <c r="E13" s="31"/>
      <c r="F13" s="31"/>
      <c r="G13" s="31"/>
      <c r="H13" s="31"/>
      <c r="I13" s="31"/>
      <c r="J13" s="31"/>
      <c r="K13" s="31"/>
    </row>
    <row r="14" spans="1:14" x14ac:dyDescent="0.45">
      <c r="A14" s="33"/>
      <c r="B14" s="32" t="str">
        <f>BAPB!B22</f>
        <v>Perusahaan</v>
      </c>
      <c r="C14" s="32" t="s">
        <v>44</v>
      </c>
      <c r="D14" s="32" t="str">
        <f>BAPB!D22</f>
        <v>CV. PUSTAKA CEMERLANG INDONESIA</v>
      </c>
      <c r="E14" s="31"/>
      <c r="F14" s="31"/>
      <c r="G14" s="31"/>
      <c r="H14" s="31"/>
      <c r="I14" s="31"/>
      <c r="J14" s="31"/>
      <c r="K14" s="31"/>
    </row>
    <row r="15" spans="1:14" x14ac:dyDescent="0.45">
      <c r="A15" s="33"/>
      <c r="B15" s="32" t="str">
        <f>BAPB!B23</f>
        <v>Alamat</v>
      </c>
      <c r="C15" s="32" t="s">
        <v>1</v>
      </c>
      <c r="D15" s="32" t="str">
        <f>BAPB!D23</f>
        <v>Wisma Mitra Sunter 3-03</v>
      </c>
      <c r="E15" s="31"/>
      <c r="F15" s="31"/>
      <c r="G15" s="31"/>
      <c r="H15" s="31"/>
      <c r="I15" s="31"/>
      <c r="J15" s="31"/>
      <c r="K15" s="31"/>
    </row>
    <row r="16" spans="1:14" x14ac:dyDescent="0.45">
      <c r="A16" s="33"/>
      <c r="B16" s="32"/>
      <c r="C16" s="32"/>
      <c r="D16" s="32" t="str">
        <f>BAPB!D24</f>
        <v>Jl. Yos Sudarso Kav. 89, Boulevard Mitra Sunter Blok C2, Sunter Jaya, Tanjung Priok</v>
      </c>
      <c r="E16" s="31"/>
      <c r="F16" s="33"/>
      <c r="G16" s="33"/>
      <c r="H16" s="33"/>
      <c r="I16" s="33"/>
      <c r="J16" s="33"/>
      <c r="K16" s="33"/>
    </row>
    <row r="17" spans="1:12" x14ac:dyDescent="0.45">
      <c r="A17" s="33"/>
      <c r="B17" s="31"/>
      <c r="C17" s="31"/>
      <c r="D17" s="32"/>
      <c r="E17" s="31"/>
      <c r="F17" s="33"/>
      <c r="G17" s="33"/>
      <c r="H17" s="33"/>
      <c r="I17" s="33"/>
      <c r="J17" s="33"/>
      <c r="K17" s="33"/>
    </row>
    <row r="18" spans="1:12" x14ac:dyDescent="0.45">
      <c r="A18" s="33"/>
      <c r="B18" s="32" t="s">
        <v>94</v>
      </c>
      <c r="C18" s="32"/>
      <c r="D18" s="31"/>
      <c r="F18" s="31"/>
      <c r="G18" s="31"/>
      <c r="H18" s="31"/>
      <c r="I18" s="31"/>
      <c r="J18" s="31"/>
      <c r="K18" s="31"/>
    </row>
    <row r="19" spans="1:12" x14ac:dyDescent="0.45">
      <c r="A19" s="33"/>
      <c r="C19" s="32"/>
      <c r="D19" s="31"/>
      <c r="F19" s="31"/>
      <c r="G19" s="31"/>
      <c r="H19" s="31"/>
      <c r="I19" s="31"/>
      <c r="J19" s="31"/>
      <c r="K19" s="31"/>
    </row>
    <row r="20" spans="1:12" x14ac:dyDescent="0.45">
      <c r="A20" s="33"/>
      <c r="B20" s="32" t="str">
        <f>BAPB!B12</f>
        <v>Nama</v>
      </c>
      <c r="C20" s="32" t="s">
        <v>1</v>
      </c>
      <c r="D20" s="32" t="str">
        <f>BAPB!D12</f>
        <v>Sulistiawati</v>
      </c>
      <c r="G20" s="33"/>
    </row>
    <row r="21" spans="1:12" x14ac:dyDescent="0.45">
      <c r="A21" s="33"/>
      <c r="B21" s="32" t="str">
        <f>BAPB!B13</f>
        <v>Jabatan</v>
      </c>
      <c r="C21" s="32" t="s">
        <v>1</v>
      </c>
      <c r="D21" s="32" t="str">
        <f>BAPB!D13</f>
        <v>Pengurus Barang</v>
      </c>
      <c r="G21" s="31"/>
    </row>
    <row r="22" spans="1:12" x14ac:dyDescent="0.45">
      <c r="A22" s="33"/>
      <c r="B22" s="32" t="str">
        <f>BAPB!B14</f>
        <v>NIP</v>
      </c>
      <c r="C22" s="32" t="s">
        <v>1</v>
      </c>
      <c r="D22" s="32" t="str">
        <f>BAPB!D14</f>
        <v>197909092022212008</v>
      </c>
      <c r="G22" s="31"/>
    </row>
    <row r="23" spans="1:12" x14ac:dyDescent="0.45">
      <c r="A23" s="33"/>
      <c r="B23" s="32" t="str">
        <f>BAPB!B15</f>
        <v>Instansi</v>
      </c>
      <c r="C23" s="32" t="s">
        <v>1</v>
      </c>
      <c r="D23" s="32" t="str">
        <f>BAPB!D15</f>
        <v>SDN Kebon Kosong 09</v>
      </c>
      <c r="G23" s="31"/>
    </row>
    <row r="24" spans="1:12" x14ac:dyDescent="0.45">
      <c r="A24" s="33"/>
      <c r="B24" s="32" t="str">
        <f>BAPB!B16</f>
        <v>Alamat</v>
      </c>
      <c r="C24" s="33"/>
      <c r="D24" s="32" t="str">
        <f>BAPB!D16</f>
        <v>Jl. Kemayoran Gempol no.32</v>
      </c>
      <c r="G24" s="31"/>
      <c r="H24" s="31"/>
      <c r="I24" s="31"/>
      <c r="J24" s="31"/>
      <c r="K24" s="31"/>
    </row>
    <row r="25" spans="1:12" x14ac:dyDescent="0.45">
      <c r="A25" s="33"/>
      <c r="G25" s="31"/>
      <c r="H25" s="31"/>
      <c r="I25" s="31"/>
      <c r="J25" s="31"/>
      <c r="K25" s="31"/>
    </row>
    <row r="26" spans="1:12" x14ac:dyDescent="0.45">
      <c r="A26" s="33"/>
      <c r="B26" s="32" t="s">
        <v>95</v>
      </c>
      <c r="C26" s="33"/>
      <c r="D26" s="33"/>
      <c r="E26" s="33"/>
      <c r="F26" s="33"/>
      <c r="G26" s="33"/>
      <c r="H26" s="33"/>
      <c r="I26" s="33"/>
      <c r="J26" s="33"/>
      <c r="K26" s="33"/>
    </row>
    <row r="27" spans="1:12" x14ac:dyDescent="0.45">
      <c r="A27" s="33"/>
      <c r="B27" s="33"/>
      <c r="C27" s="32"/>
      <c r="D27" s="31"/>
      <c r="E27" s="31"/>
      <c r="F27" s="31"/>
      <c r="G27" s="31"/>
      <c r="H27" s="31"/>
      <c r="I27" s="31"/>
      <c r="J27" s="31"/>
      <c r="K27" s="31"/>
    </row>
    <row r="28" spans="1:12" x14ac:dyDescent="0.45">
      <c r="A28" s="33"/>
      <c r="B28" s="32" t="s">
        <v>96</v>
      </c>
      <c r="C28" s="31"/>
      <c r="D28" s="31"/>
      <c r="E28" s="31"/>
      <c r="F28" s="31"/>
      <c r="G28" s="31"/>
      <c r="H28" s="31"/>
      <c r="I28" s="31"/>
      <c r="J28" s="31"/>
      <c r="K28" s="31"/>
    </row>
    <row r="29" spans="1:12" x14ac:dyDescent="0.45">
      <c r="A29" s="33"/>
      <c r="B29" s="32" t="s">
        <v>97</v>
      </c>
      <c r="C29" s="33"/>
      <c r="D29" s="33"/>
      <c r="E29" s="33"/>
      <c r="F29" s="33"/>
      <c r="G29" s="33"/>
      <c r="H29" s="33"/>
      <c r="I29" s="33"/>
      <c r="J29" s="33"/>
      <c r="K29" s="33"/>
    </row>
    <row r="30" spans="1:12" x14ac:dyDescent="0.45">
      <c r="A30" s="33"/>
      <c r="B30" s="33"/>
      <c r="C30" s="429"/>
      <c r="D30" s="429"/>
      <c r="E30" s="429"/>
      <c r="F30" s="429"/>
      <c r="G30" s="63"/>
      <c r="H30" s="63"/>
      <c r="I30" s="63"/>
      <c r="J30" s="429"/>
      <c r="K30" s="429"/>
    </row>
    <row r="31" spans="1:12" x14ac:dyDescent="0.45">
      <c r="A31" s="33"/>
      <c r="B31" s="34" t="s">
        <v>21</v>
      </c>
      <c r="C31" s="430" t="s">
        <v>71</v>
      </c>
      <c r="D31" s="432"/>
      <c r="E31" s="431"/>
      <c r="F31" s="430" t="s">
        <v>72</v>
      </c>
      <c r="G31" s="431"/>
      <c r="H31" s="428" t="s">
        <v>90</v>
      </c>
      <c r="I31" s="428"/>
      <c r="J31" s="428"/>
      <c r="K31" s="428"/>
      <c r="L31" s="428"/>
    </row>
    <row r="32" spans="1:12" ht="27" customHeight="1" x14ac:dyDescent="0.45">
      <c r="A32" s="33"/>
      <c r="B32" s="35">
        <f>BAPB!B32</f>
        <v>1</v>
      </c>
      <c r="C32" s="36" t="str">
        <f>BAPB!C32</f>
        <v>glass cleaner</v>
      </c>
      <c r="D32" s="37"/>
      <c r="E32" s="102"/>
      <c r="F32" s="50">
        <f>BAPB!G32</f>
        <v>15</v>
      </c>
      <c r="G32" s="35" t="str">
        <f>BAPB!H32</f>
        <v>liter</v>
      </c>
      <c r="H32" s="428" t="str">
        <f>BAPB!I32</f>
        <v>Baik</v>
      </c>
      <c r="I32" s="428"/>
      <c r="J32" s="428"/>
      <c r="K32" s="428"/>
      <c r="L32" s="428"/>
    </row>
    <row r="33" spans="1:11" x14ac:dyDescent="0.45">
      <c r="A33" s="33"/>
    </row>
    <row r="34" spans="1:11" x14ac:dyDescent="0.45">
      <c r="A34" s="33"/>
      <c r="B34" s="33" t="s">
        <v>91</v>
      </c>
      <c r="C34" s="32"/>
      <c r="D34" s="32"/>
      <c r="E34" s="32"/>
      <c r="F34" s="32"/>
      <c r="G34" s="32"/>
      <c r="H34" s="7"/>
    </row>
    <row r="35" spans="1:11" x14ac:dyDescent="0.45">
      <c r="A35" s="33"/>
      <c r="B35" s="33" t="s">
        <v>92</v>
      </c>
      <c r="C35" s="32"/>
      <c r="D35" s="32"/>
      <c r="E35" s="32"/>
      <c r="F35" s="32"/>
      <c r="G35" s="32"/>
      <c r="H35" s="7"/>
    </row>
    <row r="36" spans="1:11" x14ac:dyDescent="0.45">
      <c r="A36" s="33"/>
      <c r="C36" s="32"/>
      <c r="D36" s="32"/>
      <c r="E36" s="32"/>
      <c r="F36" s="32"/>
      <c r="G36" s="32"/>
      <c r="H36" s="7"/>
    </row>
    <row r="37" spans="1:11" x14ac:dyDescent="0.45">
      <c r="A37" s="33"/>
      <c r="B37" s="33" t="s">
        <v>93</v>
      </c>
      <c r="C37" s="32"/>
      <c r="D37" s="32"/>
      <c r="E37" s="32"/>
      <c r="F37" s="32"/>
      <c r="G37" s="32"/>
      <c r="H37" s="7"/>
    </row>
    <row r="38" spans="1:11" x14ac:dyDescent="0.45">
      <c r="A38" s="33"/>
    </row>
    <row r="39" spans="1:11" x14ac:dyDescent="0.45">
      <c r="A39" s="33"/>
      <c r="B39" s="32" t="s">
        <v>41</v>
      </c>
      <c r="C39" s="32"/>
      <c r="D39" s="32"/>
      <c r="E39" s="32"/>
      <c r="F39" s="32"/>
      <c r="G39" s="32"/>
      <c r="H39" s="7"/>
      <c r="J39" s="32" t="s">
        <v>40</v>
      </c>
      <c r="K39" s="32"/>
    </row>
    <row r="40" spans="1:11" x14ac:dyDescent="0.45">
      <c r="A40" s="33"/>
      <c r="B40" s="32" t="s">
        <v>43</v>
      </c>
      <c r="C40" s="32"/>
      <c r="D40" s="32"/>
      <c r="E40" s="32"/>
      <c r="F40" s="32"/>
      <c r="G40" s="32"/>
      <c r="H40" s="7"/>
      <c r="J40" s="32" t="s">
        <v>42</v>
      </c>
      <c r="K40" s="51"/>
    </row>
    <row r="41" spans="1:11" x14ac:dyDescent="0.45">
      <c r="A41" s="33"/>
      <c r="B41" s="32"/>
      <c r="C41" s="32"/>
      <c r="D41" s="32"/>
      <c r="E41" s="32"/>
      <c r="F41" s="32"/>
      <c r="G41" s="32"/>
      <c r="H41" s="7"/>
      <c r="J41" s="51"/>
      <c r="K41" s="51"/>
    </row>
    <row r="42" spans="1:11" x14ac:dyDescent="0.45">
      <c r="A42" s="7"/>
      <c r="B42" s="32"/>
      <c r="C42" s="32"/>
      <c r="D42" s="32"/>
      <c r="E42" s="32"/>
      <c r="F42" s="32"/>
      <c r="G42" s="32"/>
      <c r="H42" s="7"/>
      <c r="J42" s="51"/>
      <c r="K42" s="51"/>
    </row>
    <row r="43" spans="1:11" x14ac:dyDescent="0.45">
      <c r="A43" s="7"/>
      <c r="B43" s="51"/>
      <c r="C43" s="51"/>
      <c r="D43" s="51"/>
      <c r="E43" s="32"/>
      <c r="F43" s="32"/>
      <c r="G43" s="32"/>
      <c r="H43" s="7"/>
      <c r="J43" s="7"/>
      <c r="K43" s="51"/>
    </row>
    <row r="44" spans="1:11" x14ac:dyDescent="0.45">
      <c r="A44" s="7"/>
      <c r="B44" s="51"/>
      <c r="C44" s="51"/>
      <c r="D44" s="51"/>
      <c r="E44" s="32"/>
      <c r="F44" s="32"/>
      <c r="G44" s="32"/>
      <c r="H44" s="7"/>
      <c r="J44" s="7"/>
      <c r="K44" s="51"/>
    </row>
    <row r="45" spans="1:11" x14ac:dyDescent="0.45">
      <c r="B45" s="51"/>
      <c r="C45" s="38"/>
      <c r="D45" s="38"/>
      <c r="E45" s="32"/>
      <c r="F45" s="32"/>
      <c r="G45" s="32"/>
      <c r="H45" s="7"/>
      <c r="J45" s="38"/>
      <c r="K45" s="38"/>
    </row>
    <row r="46" spans="1:11" x14ac:dyDescent="0.45">
      <c r="B46" s="38" t="str">
        <f>BAPB!I49</f>
        <v>Bambang Solifian</v>
      </c>
      <c r="C46" s="39"/>
      <c r="D46" s="30"/>
      <c r="E46" s="32"/>
      <c r="F46" s="32"/>
      <c r="G46" s="32"/>
      <c r="H46" s="32"/>
      <c r="J46" s="38" t="str">
        <f>BAPB!B49</f>
        <v>Sulistiawati</v>
      </c>
      <c r="K46" s="32"/>
    </row>
    <row r="47" spans="1:11" x14ac:dyDescent="0.45">
      <c r="J47" t="str">
        <f>BAPB!B50</f>
        <v>NIP. 197909092022212008</v>
      </c>
    </row>
    <row r="49" spans="7:9" x14ac:dyDescent="0.45">
      <c r="G49" s="74" t="str">
        <f>BAPB!F53</f>
        <v>Mengetahui,</v>
      </c>
      <c r="H49" s="74"/>
      <c r="I49" s="74"/>
    </row>
    <row r="50" spans="7:9" x14ac:dyDescent="0.45">
      <c r="G50" s="74" t="str">
        <f>BAPB!F54</f>
        <v>Kepala Sekolah SDN Kebon Kosong 09</v>
      </c>
      <c r="H50" s="74"/>
      <c r="I50" s="74"/>
    </row>
    <row r="51" spans="7:9" x14ac:dyDescent="0.45">
      <c r="G51" s="74"/>
      <c r="H51" s="74"/>
    </row>
    <row r="52" spans="7:9" x14ac:dyDescent="0.45">
      <c r="G52" s="74"/>
      <c r="H52" s="74"/>
    </row>
    <row r="53" spans="7:9" x14ac:dyDescent="0.45">
      <c r="G53" s="74"/>
      <c r="H53" s="74"/>
    </row>
    <row r="54" spans="7:9" x14ac:dyDescent="0.45">
      <c r="G54" s="74"/>
      <c r="H54" s="74"/>
    </row>
    <row r="55" spans="7:9" x14ac:dyDescent="0.45">
      <c r="G55" s="74"/>
      <c r="H55" s="74"/>
    </row>
    <row r="56" spans="7:9" x14ac:dyDescent="0.45">
      <c r="G56" s="103" t="str">
        <f>BAPB!F60</f>
        <v>Khairunnisa</v>
      </c>
      <c r="H56" s="74"/>
      <c r="I56" s="74"/>
    </row>
    <row r="57" spans="7:9" x14ac:dyDescent="0.45">
      <c r="G57" s="74" t="str">
        <f>BAPB!F61</f>
        <v>NIP. 198402112011012010</v>
      </c>
      <c r="H57" s="74"/>
      <c r="I57" s="74"/>
    </row>
  </sheetData>
  <mergeCells count="14">
    <mergeCell ref="A8:N8"/>
    <mergeCell ref="A9:N9"/>
    <mergeCell ref="H31:L31"/>
    <mergeCell ref="D6:I6"/>
    <mergeCell ref="A1:M1"/>
    <mergeCell ref="A2:M2"/>
    <mergeCell ref="A3:M3"/>
    <mergeCell ref="A4:M4"/>
    <mergeCell ref="A5:M5"/>
    <mergeCell ref="H32:L32"/>
    <mergeCell ref="C30:F30"/>
    <mergeCell ref="J30:K30"/>
    <mergeCell ref="F31:G31"/>
    <mergeCell ref="C31:E31"/>
  </mergeCells>
  <pageMargins left="0.31496062992125984" right="0.31496062992125984" top="0.74803149606299213" bottom="0.74803149606299213" header="0.31496062992125984" footer="0.31496062992125984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HPS</vt:lpstr>
      <vt:lpstr>SPP</vt:lpstr>
      <vt:lpstr>SURAT PENAWARAN</vt:lpstr>
      <vt:lpstr>SURAT NEGOSIASI (2)</vt:lpstr>
      <vt:lpstr>SURAT PESANAN (2)</vt:lpstr>
      <vt:lpstr>FAKTUR</vt:lpstr>
      <vt:lpstr>KWITANSI</vt:lpstr>
      <vt:lpstr>SURAT JALAN</vt:lpstr>
      <vt:lpstr>BAPB</vt:lpstr>
      <vt:lpstr>BAST</vt:lpstr>
      <vt:lpstr>BAPP</vt:lpstr>
      <vt:lpstr>Lamp BAPP</vt:lpstr>
      <vt:lpstr>BAST Rekanan</vt:lpstr>
      <vt:lpstr>BAPB!Print_Area</vt:lpstr>
      <vt:lpstr>BAST!Print_Area</vt:lpstr>
      <vt:lpstr>'BAST Rekanan'!Print_Area</vt:lpstr>
      <vt:lpstr>FAKTUR!Print_Area</vt:lpstr>
      <vt:lpstr>HPS!Print_Area</vt:lpstr>
      <vt:lpstr>KWITANSI!Print_Area</vt:lpstr>
      <vt:lpstr>SPP!Print_Area</vt:lpstr>
      <vt:lpstr>'SURAT JALAN'!Print_Area</vt:lpstr>
      <vt:lpstr>'SURAT NEGOSIASI (2)'!Print_Area</vt:lpstr>
      <vt:lpstr>'SURAT PENAWARAN'!Print_Area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Irawan Setiadi</cp:lastModifiedBy>
  <cp:lastPrinted>2026-06-30T03:23:28Z</cp:lastPrinted>
  <dcterms:created xsi:type="dcterms:W3CDTF">2020-07-19T14:00:12Z</dcterms:created>
  <dcterms:modified xsi:type="dcterms:W3CDTF">2026-06-30T03:26:31Z</dcterms:modified>
</cp:coreProperties>
</file>